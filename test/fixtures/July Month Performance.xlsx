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mesgrouponline-my.sharepoint.com/personal/ishan_kapoor_shikshavijay_com/Documents/Desktop/Performance Report/"/>
    </mc:Choice>
  </mc:AlternateContent>
  <xr:revisionPtr revIDLastSave="113" documentId="8_{E9501F2A-9F05-4A97-9121-E55493137346}" xr6:coauthVersionLast="47" xr6:coauthVersionMax="47" xr10:uidLastSave="{C4031DE5-B76E-4383-A301-E1218A1E2AAF}"/>
  <bookViews>
    <workbookView xWindow="-120" yWindow="-120" windowWidth="19440" windowHeight="10440" tabRatio="683" xr2:uid="{7B2952F6-0A73-46A7-A7F5-B4504164E0C6}"/>
  </bookViews>
  <sheets>
    <sheet name="July Month Targets" sheetId="1" r:id="rId1"/>
    <sheet name="Engineering" sheetId="2" r:id="rId2"/>
    <sheet name="Management" sheetId="3" r:id="rId3"/>
    <sheet name="Law" sheetId="4" r:id="rId4"/>
    <sheet name="Media &amp; Liberal Arts" sheetId="5" r:id="rId5"/>
    <sheet name="Design" sheetId="6" r:id="rId6"/>
    <sheet name="Inbound" sheetId="7" r:id="rId7"/>
  </sheets>
  <definedNames>
    <definedName name="_xlnm._FilterDatabase" localSheetId="5" hidden="1">Design!$A$2:$H$6</definedName>
    <definedName name="_xlnm._FilterDatabase" localSheetId="1" hidden="1">Engineering!$A$2:$J$35</definedName>
    <definedName name="_xlnm._FilterDatabase" localSheetId="6" hidden="1">Inbound!$A$2:$J$17</definedName>
    <definedName name="_xlnm._FilterDatabase" localSheetId="2" hidden="1">Management!$A$2:$H$12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1" l="1"/>
  <c r="F17" i="7"/>
  <c r="E17" i="7"/>
  <c r="F6" i="6"/>
  <c r="E6" i="6"/>
  <c r="F8" i="5"/>
  <c r="E8" i="5"/>
  <c r="F8" i="4"/>
  <c r="E8" i="4"/>
  <c r="F12" i="3"/>
  <c r="C4" i="1" s="1"/>
  <c r="E12" i="3"/>
  <c r="F35" i="2"/>
  <c r="E35" i="2"/>
  <c r="H12" i="3"/>
  <c r="I5" i="7"/>
  <c r="J5" i="5"/>
  <c r="J4" i="5"/>
  <c r="J7" i="5"/>
  <c r="J6" i="5"/>
  <c r="J3" i="5"/>
  <c r="J3" i="6"/>
  <c r="J5" i="6"/>
  <c r="J4" i="6"/>
  <c r="I3" i="6"/>
  <c r="I5" i="6"/>
  <c r="I4" i="6"/>
  <c r="J4" i="4"/>
  <c r="J6" i="4"/>
  <c r="J5" i="4"/>
  <c r="J7" i="4"/>
  <c r="J3" i="4"/>
  <c r="I4" i="4"/>
  <c r="I6" i="4"/>
  <c r="I5" i="4"/>
  <c r="I7" i="4"/>
  <c r="I3" i="4"/>
  <c r="I5" i="5"/>
  <c r="I4" i="5"/>
  <c r="I7" i="5"/>
  <c r="I6" i="5"/>
  <c r="I3" i="5"/>
  <c r="J6" i="2"/>
  <c r="J15" i="2"/>
  <c r="J7" i="2"/>
  <c r="J5" i="2"/>
  <c r="J11" i="2"/>
  <c r="J8" i="2"/>
  <c r="J10" i="2"/>
  <c r="J12" i="2"/>
  <c r="J9" i="2"/>
  <c r="J3" i="2"/>
  <c r="J19" i="2"/>
  <c r="J21" i="2"/>
  <c r="J13" i="2"/>
  <c r="J22" i="2"/>
  <c r="J25" i="2"/>
  <c r="J18" i="2"/>
  <c r="J17" i="2"/>
  <c r="J26" i="2"/>
  <c r="J14" i="2"/>
  <c r="J24" i="2"/>
  <c r="J34" i="2"/>
  <c r="J28" i="2"/>
  <c r="J20" i="2"/>
  <c r="J31" i="2"/>
  <c r="J4" i="2"/>
  <c r="J27" i="2"/>
  <c r="J30" i="2"/>
  <c r="J29" i="2"/>
  <c r="J23" i="2"/>
  <c r="J33" i="2"/>
  <c r="J32" i="2"/>
  <c r="J16" i="2"/>
  <c r="I6" i="2"/>
  <c r="I15" i="2"/>
  <c r="I7" i="2"/>
  <c r="I5" i="2"/>
  <c r="I11" i="2"/>
  <c r="I8" i="2"/>
  <c r="I10" i="2"/>
  <c r="I12" i="2"/>
  <c r="I9" i="2"/>
  <c r="I3" i="2"/>
  <c r="I19" i="2"/>
  <c r="I21" i="2"/>
  <c r="I13" i="2"/>
  <c r="I22" i="2"/>
  <c r="I25" i="2"/>
  <c r="I18" i="2"/>
  <c r="I17" i="2"/>
  <c r="I26" i="2"/>
  <c r="I14" i="2"/>
  <c r="I24" i="2"/>
  <c r="I34" i="2"/>
  <c r="I28" i="2"/>
  <c r="I20" i="2"/>
  <c r="I31" i="2"/>
  <c r="I4" i="2"/>
  <c r="I27" i="2"/>
  <c r="I30" i="2"/>
  <c r="I29" i="2"/>
  <c r="I23" i="2"/>
  <c r="I33" i="2"/>
  <c r="I32" i="2"/>
  <c r="I16" i="2"/>
  <c r="J6" i="3"/>
  <c r="J9" i="3"/>
  <c r="J3" i="3"/>
  <c r="J4" i="3"/>
  <c r="J5" i="3"/>
  <c r="J7" i="3"/>
  <c r="J11" i="3"/>
  <c r="J10" i="3"/>
  <c r="J8" i="3"/>
  <c r="I6" i="3"/>
  <c r="I9" i="3"/>
  <c r="I3" i="3"/>
  <c r="I4" i="3"/>
  <c r="I5" i="3"/>
  <c r="I7" i="3"/>
  <c r="I11" i="3"/>
  <c r="I10" i="3"/>
  <c r="I8" i="3"/>
  <c r="J5" i="7"/>
  <c r="J6" i="7"/>
  <c r="J11" i="7"/>
  <c r="J14" i="7"/>
  <c r="J4" i="7"/>
  <c r="J12" i="7"/>
  <c r="J9" i="7"/>
  <c r="J3" i="7"/>
  <c r="J15" i="7"/>
  <c r="J16" i="7"/>
  <c r="J13" i="7"/>
  <c r="J10" i="7"/>
  <c r="J8" i="7"/>
  <c r="J7" i="7"/>
  <c r="I6" i="7"/>
  <c r="I11" i="7"/>
  <c r="I14" i="7"/>
  <c r="I4" i="7"/>
  <c r="I12" i="7"/>
  <c r="I9" i="7"/>
  <c r="I3" i="7"/>
  <c r="I15" i="7"/>
  <c r="I16" i="7"/>
  <c r="I13" i="7"/>
  <c r="I10" i="7"/>
  <c r="I8" i="7"/>
  <c r="I7" i="7"/>
  <c r="H35" i="2"/>
  <c r="H17" i="7"/>
  <c r="H6" i="6"/>
  <c r="H8" i="4"/>
  <c r="H8" i="5"/>
  <c r="I6" i="6" l="1"/>
  <c r="I17" i="7"/>
  <c r="I8" i="4"/>
  <c r="I8" i="5"/>
  <c r="J8" i="4"/>
  <c r="I12" i="3"/>
  <c r="J8" i="5"/>
  <c r="J17" i="7"/>
  <c r="J12" i="3"/>
  <c r="I35" i="2"/>
  <c r="J35" i="2"/>
  <c r="C8" i="1"/>
  <c r="J6" i="6"/>
  <c r="C6" i="1"/>
  <c r="C3" i="1"/>
  <c r="C9" i="1"/>
  <c r="B9" i="1"/>
  <c r="B8" i="1"/>
  <c r="B6" i="1"/>
  <c r="B5" i="1"/>
  <c r="B4" i="1"/>
  <c r="B3" i="1"/>
  <c r="C5" i="1" l="1"/>
  <c r="C10" i="1" s="1"/>
  <c r="B10" i="1"/>
</calcChain>
</file>

<file path=xl/sharedStrings.xml><?xml version="1.0" encoding="utf-8"?>
<sst xmlns="http://schemas.openxmlformats.org/spreadsheetml/2006/main" count="276" uniqueCount="159">
  <si>
    <t>Engineering</t>
  </si>
  <si>
    <t>Management</t>
  </si>
  <si>
    <t>Law</t>
  </si>
  <si>
    <t>Design</t>
  </si>
  <si>
    <t>Grand Total</t>
  </si>
  <si>
    <t>Inbound</t>
  </si>
  <si>
    <t>Team Name</t>
  </si>
  <si>
    <t>Counsellor Name</t>
  </si>
  <si>
    <t>Md.Arshad Hussain</t>
  </si>
  <si>
    <t>Vishwadeep Saxena</t>
  </si>
  <si>
    <t>Ritika Dakolia</t>
  </si>
  <si>
    <t>Amrit Raj Verma</t>
  </si>
  <si>
    <t>Swati Shandaliya</t>
  </si>
  <si>
    <t>Akshat Sharma</t>
  </si>
  <si>
    <t>Shweta Gupta</t>
  </si>
  <si>
    <t>Hans Sharma</t>
  </si>
  <si>
    <t>Abhishek Kumar Singh</t>
  </si>
  <si>
    <t>Ritu Raj</t>
  </si>
  <si>
    <t>Sanjay Rawat</t>
  </si>
  <si>
    <t>Deepali Yadav</t>
  </si>
  <si>
    <t>Supriya Singh</t>
  </si>
  <si>
    <t>Pallavi Singh</t>
  </si>
  <si>
    <t>Roshan Kumar Singh</t>
  </si>
  <si>
    <t>Vikas Pal</t>
  </si>
  <si>
    <t>Sneha Kumari</t>
  </si>
  <si>
    <t>Bhavna Sahu</t>
  </si>
  <si>
    <t>Ishika Singh</t>
  </si>
  <si>
    <t>Sakshi Singh</t>
  </si>
  <si>
    <t>Palki Mittal</t>
  </si>
  <si>
    <t>Sanjana Pal</t>
  </si>
  <si>
    <t>Surbhi Yadav</t>
  </si>
  <si>
    <t>Vaishnavi</t>
  </si>
  <si>
    <t xml:space="preserve">Aditya Godiyal 	</t>
  </si>
  <si>
    <t>Manisha Gupta</t>
  </si>
  <si>
    <t>Shalini Panjiyar</t>
  </si>
  <si>
    <t>Tanushree Baisala</t>
  </si>
  <si>
    <t>Abhinav Kumar</t>
  </si>
  <si>
    <t>Shivansh Tyagi</t>
  </si>
  <si>
    <t>Arvind Kumar</t>
  </si>
  <si>
    <t>Tanya Yadav</t>
  </si>
  <si>
    <t>Ashna Sidiqqui</t>
  </si>
  <si>
    <t>Nikhil Pal</t>
  </si>
  <si>
    <t>Hemant Singh</t>
  </si>
  <si>
    <t>Mihir Kumar</t>
  </si>
  <si>
    <t>Sumitra Bharti</t>
  </si>
  <si>
    <t>Debjani Saha</t>
  </si>
  <si>
    <t>Himanshu Shahi</t>
  </si>
  <si>
    <t>Karnika Sharma</t>
  </si>
  <si>
    <t>Ashutosh Pandey</t>
  </si>
  <si>
    <t>Taniya Adhikari</t>
  </si>
  <si>
    <t>Shraddha Sharma</t>
  </si>
  <si>
    <t xml:space="preserve">Abquari Akhtar </t>
  </si>
  <si>
    <t>Prajukta Kashyap</t>
  </si>
  <si>
    <t>Deepanshi Sharma</t>
  </si>
  <si>
    <t>Nidhi Khandelwal</t>
  </si>
  <si>
    <t>Ankita Singh</t>
  </si>
  <si>
    <t>Nayanika Singh</t>
  </si>
  <si>
    <t>Deepali Gupta</t>
  </si>
  <si>
    <t>Agrim Chaudhary</t>
  </si>
  <si>
    <t>Shalini Kumari</t>
  </si>
  <si>
    <t>Safiya Farheen</t>
  </si>
  <si>
    <t>Adiba Farid</t>
  </si>
  <si>
    <t>Bhoomi Kanujiya</t>
  </si>
  <si>
    <t>Ankita Yadav</t>
  </si>
  <si>
    <t>Anshika Garg</t>
  </si>
  <si>
    <t>Sukriti Shukla</t>
  </si>
  <si>
    <t>Akanksha Sengar</t>
  </si>
  <si>
    <t>Harsh Vardhan</t>
  </si>
  <si>
    <t>Sneha Gupta</t>
  </si>
  <si>
    <t>Yash Chaudhary</t>
  </si>
  <si>
    <t>Yogita Singh</t>
  </si>
  <si>
    <t xml:space="preserve">Bhumika Kohli </t>
  </si>
  <si>
    <t>Mishika Jindal</t>
  </si>
  <si>
    <t>Non-Negotiable</t>
  </si>
  <si>
    <t>Overall</t>
  </si>
  <si>
    <t xml:space="preserve">Overall </t>
  </si>
  <si>
    <t>Media &amp; Liberal Arts</t>
  </si>
  <si>
    <t>Mayank</t>
  </si>
  <si>
    <t>Sakaar Srivastava</t>
  </si>
  <si>
    <t>July Month Targets</t>
  </si>
  <si>
    <t>Achieved</t>
  </si>
  <si>
    <t>Sneha Garg</t>
  </si>
  <si>
    <t>Agency Name</t>
  </si>
  <si>
    <t>DOJ</t>
  </si>
  <si>
    <t>Email ID</t>
  </si>
  <si>
    <t>SKS Enterprises</t>
  </si>
  <si>
    <t>c-abhishek.singh@bennett.edu.in</t>
  </si>
  <si>
    <t>c-akshat.sharma@bennett.edu.in</t>
  </si>
  <si>
    <t>c-amrit.verma@bennett.edu.in</t>
  </si>
  <si>
    <t>c-bhavna.sahu@bennett.edu.in</t>
  </si>
  <si>
    <t>c-deepali.yadav@bennett.edu.in</t>
  </si>
  <si>
    <t>c-hans.sharma@bennett.edu.in</t>
  </si>
  <si>
    <t>c-ishika.singh@bennett.edu.in</t>
  </si>
  <si>
    <t>c-arshad.hussain@bennett.edu.in</t>
  </si>
  <si>
    <t>c-mishika.jinddal@bennett.edu.in</t>
  </si>
  <si>
    <t>AM2PM</t>
  </si>
  <si>
    <t>c-palki.mittal@bennett.edu.in</t>
  </si>
  <si>
    <t>c-pallavi.singh@bennett.edu.in</t>
  </si>
  <si>
    <t>c-ritika.dakolia@bennett.edu.in</t>
  </si>
  <si>
    <t>c-ritu.raj@bennett.edu.in</t>
  </si>
  <si>
    <t>c-roshan.singh@bennett.edu.in</t>
  </si>
  <si>
    <t>c-sakshi.singh@bennett.edu.in</t>
  </si>
  <si>
    <t>c-sanjana.pal@bennett.edu.in</t>
  </si>
  <si>
    <t>c-sanjay.rawat@bennett.edu.in</t>
  </si>
  <si>
    <t>c-shweta.gupta@bennett.edu.in</t>
  </si>
  <si>
    <t>c-sneha.kumarri@bennett.edu.in</t>
  </si>
  <si>
    <t>c-supriya.singh@bennett.edu.in</t>
  </si>
  <si>
    <t>c-surbhi.yadav@bennett.edu.in</t>
  </si>
  <si>
    <t>c-swati.shandaliya@bennett.edu.in</t>
  </si>
  <si>
    <t>c-vikas.pal@bennett.edu.in</t>
  </si>
  <si>
    <t>c-yogita.singh@bennett.edu.in</t>
  </si>
  <si>
    <t>cc-vishwadeep.saxena@bennett.edu.in</t>
  </si>
  <si>
    <t>c-sneha.garg@bennett.edu.in</t>
  </si>
  <si>
    <t>c-abida.farid@bennett.edu.in</t>
  </si>
  <si>
    <t>c-agrim.chaudhary@bennett.edu.in</t>
  </si>
  <si>
    <t>c-akanksha.sengar@bennett.edu.in</t>
  </si>
  <si>
    <t>c-ankita.yadav@bennett.edu.in</t>
  </si>
  <si>
    <t>c-anshika.garg@bennett.edu.in</t>
  </si>
  <si>
    <t>c-bhoomi.kanujiya@bennett.edu.in</t>
  </si>
  <si>
    <t>c-deepali.gupta@bennett.edu.in</t>
  </si>
  <si>
    <t>c-safiya.farheen@bennett.edu.in</t>
  </si>
  <si>
    <t>c-shalini.kumari@bennett.edu.in</t>
  </si>
  <si>
    <t>c-sukriti.shukla@bennett.edu.in</t>
  </si>
  <si>
    <t>c-sakaar.srivastava@bennett.edu.in</t>
  </si>
  <si>
    <t>c-ankita.singh1@bennett.edu.in</t>
  </si>
  <si>
    <t>c-deepanshi.sharma@bennett.edu.in</t>
  </si>
  <si>
    <t xml:space="preserve">
c-nidhi.khandelwal@bennett.edu.in</t>
  </si>
  <si>
    <t>c-debanjani.saha@bennett.edu.in</t>
  </si>
  <si>
    <t>c-himanshu.shahi@bennett.edu.in</t>
  </si>
  <si>
    <t>c-karnika.sharma@bennett.edu.in</t>
  </si>
  <si>
    <t>c-mihir.kumar@bennett.edu.in</t>
  </si>
  <si>
    <t>c-sumitra.bharti@bennett.edu.in</t>
  </si>
  <si>
    <t>c-abquar.akhtar@bennett.edu.in</t>
  </si>
  <si>
    <t>c-ashutosh.pandey@bennett.edu.in</t>
  </si>
  <si>
    <t>c-prajukta.kashyap@bennett.edu.in</t>
  </si>
  <si>
    <t>c-shraddha.sharma@bennett.edu.in</t>
  </si>
  <si>
    <t>c-tanya.adhikari@bennett.edu.in</t>
  </si>
  <si>
    <t xml:space="preserve">
c-abhinav.kumar@bennett.edu.in
</t>
  </si>
  <si>
    <t>c-arvind.kumar@bennett.edu.in</t>
  </si>
  <si>
    <t xml:space="preserve"> c-ashna.sidiqqui@bennett.edu.in</t>
  </si>
  <si>
    <t>c-nikhil.pal@bennett.edu.in</t>
  </si>
  <si>
    <t>c-shalini.paniyar@bennett.edu.in</t>
  </si>
  <si>
    <t>c-shivansh.tyagi@bennett.edu.in</t>
  </si>
  <si>
    <t>c-tanushree.bansal@bennett.edu.in</t>
  </si>
  <si>
    <t xml:space="preserve"> c-tanya.yadav@bennett.edu.in</t>
  </si>
  <si>
    <t>c-aditya.godiyal@bennett.edu.in</t>
  </si>
  <si>
    <t>c-manisha.gupta@bennett.edu.in</t>
  </si>
  <si>
    <t>c-vaisnavi@bennett.edu.in</t>
  </si>
  <si>
    <t>c-bhumika.kohli@bennett.edu.in</t>
  </si>
  <si>
    <t>c-mayank@bennett.edu.in</t>
  </si>
  <si>
    <t>c-nayanika.singh@bennett.edu.in</t>
  </si>
  <si>
    <t>c-hemant.singh@bennett.edu.in</t>
  </si>
  <si>
    <t>c-harsh.vardhan@bennett.edu.in</t>
  </si>
  <si>
    <t>c-sneha.gupta@bennett.edu.in</t>
  </si>
  <si>
    <t>c-yash.chaudhary@bennett.edu.in</t>
  </si>
  <si>
    <t>Acknowledgment</t>
  </si>
  <si>
    <t xml:space="preserve">Acknowledgment </t>
  </si>
  <si>
    <t>Pending</t>
  </si>
  <si>
    <t>%Achieved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</si>
</sst>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Arial"/>
      <family val="2"/>
    </font>
    <font>
      <b/>
      <sz val="10"/>
      <color theme="1"/>
      <name val="Calbri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"/>
      <name val="Calibri"/>
      <family val="2"/>
    </font>
    <font>
      <u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0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9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74">
    <xf numFmtId="0" fontId="0" fillId="0" borderId="0" xfId="0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2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3" borderId="1" xfId="1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14" fontId="4" fillId="5" borderId="1" xfId="0" applyNumberFormat="1" applyFont="1" applyFill="1" applyBorder="1" applyAlignment="1">
      <alignment horizontal="center" vertical="top"/>
    </xf>
    <xf numFmtId="0" fontId="10" fillId="5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4" fillId="5" borderId="1" xfId="0" applyFont="1" applyFill="1" applyBorder="1" applyAlignment="1">
      <alignment horizontal="center" vertical="top" wrapText="1"/>
    </xf>
    <xf numFmtId="0" fontId="11" fillId="5" borderId="1" xfId="2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9" fontId="0" fillId="0" borderId="1" xfId="3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9" fontId="0" fillId="3" borderId="1" xfId="3" applyFont="1" applyFill="1" applyBorder="1" applyAlignment="1">
      <alignment horizontal="center"/>
    </xf>
    <xf numFmtId="9" fontId="0" fillId="3" borderId="1" xfId="3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top"/>
    </xf>
    <xf numFmtId="14" fontId="4" fillId="7" borderId="1" xfId="0" applyNumberFormat="1" applyFont="1" applyFill="1" applyBorder="1" applyAlignment="1">
      <alignment horizontal="center" vertical="top"/>
    </xf>
    <xf numFmtId="0" fontId="10" fillId="7" borderId="1" xfId="0" applyFont="1" applyFill="1" applyBorder="1" applyAlignment="1">
      <alignment horizontal="center" vertical="top"/>
    </xf>
    <xf numFmtId="0" fontId="0" fillId="7" borderId="1" xfId="0" applyFill="1" applyBorder="1" applyAlignment="1">
      <alignment horizontal="center"/>
    </xf>
    <xf numFmtId="9" fontId="0" fillId="7" borderId="1" xfId="3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top"/>
    </xf>
    <xf numFmtId="14" fontId="4" fillId="6" borderId="1" xfId="0" applyNumberFormat="1" applyFont="1" applyFill="1" applyBorder="1" applyAlignment="1">
      <alignment horizontal="center"/>
    </xf>
    <xf numFmtId="0" fontId="10" fillId="6" borderId="1" xfId="2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9" fontId="0" fillId="6" borderId="1" xfId="3" applyFont="1" applyFill="1" applyBorder="1" applyAlignment="1">
      <alignment horizontal="center"/>
    </xf>
    <xf numFmtId="14" fontId="4" fillId="6" borderId="1" xfId="0" applyNumberFormat="1" applyFont="1" applyFill="1" applyBorder="1" applyAlignment="1">
      <alignment horizontal="center" vertical="top"/>
    </xf>
    <xf numFmtId="0" fontId="11" fillId="6" borderId="1" xfId="2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/>
    </xf>
    <xf numFmtId="0" fontId="11" fillId="6" borderId="1" xfId="2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14" fontId="4" fillId="3" borderId="1" xfId="0" applyNumberFormat="1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center" vertical="top"/>
    </xf>
    <xf numFmtId="0" fontId="11" fillId="3" borderId="1" xfId="2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10" fillId="3" borderId="1" xfId="2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14" fillId="2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9" fontId="0" fillId="5" borderId="1" xfId="3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15" fillId="0" borderId="1" xfId="0" applyFont="1" applyBorder="1" applyAlignment="1">
      <alignment horizontal="left" vertical="top"/>
    </xf>
    <xf numFmtId="0" fontId="14" fillId="3" borderId="1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horizontal="center" vertical="top"/>
    </xf>
    <xf numFmtId="0" fontId="15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5" fillId="0" borderId="4" xfId="0" applyFont="1" applyBorder="1" applyAlignment="1">
      <alignment horizontal="left" vertical="top"/>
    </xf>
    <xf numFmtId="0" fontId="15" fillId="0" borderId="5" xfId="0" applyFont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</cellXfs>
  <cellStyles count="4">
    <cellStyle name="Hyperlink" xfId="2" builtinId="8"/>
    <cellStyle name="Normal" xfId="0" builtinId="0"/>
    <cellStyle name="Normal 4" xfId="1" xr:uid="{EDF86F07-EDC7-48C4-8F08-CA09FB17AFFA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-vaisnavi@bennett.edu.in" TargetMode="External"/><Relationship Id="rId2" Type="http://schemas.openxmlformats.org/officeDocument/2006/relationships/hyperlink" Target="mailto:c-manisha.gupta@bennett.edu.in" TargetMode="External"/><Relationship Id="rId1" Type="http://schemas.openxmlformats.org/officeDocument/2006/relationships/hyperlink" Target="mailto:c-aditya.godiyal@bennett.edu.in" TargetMode="External"/><Relationship Id="rId6" Type="http://schemas.openxmlformats.org/officeDocument/2006/relationships/hyperlink" Target="mailto:c-nayanika.singh@bennett.edu.in" TargetMode="External"/><Relationship Id="rId5" Type="http://schemas.openxmlformats.org/officeDocument/2006/relationships/hyperlink" Target="mailto:c-mayank@bennett.edu.in" TargetMode="External"/><Relationship Id="rId4" Type="http://schemas.openxmlformats.org/officeDocument/2006/relationships/hyperlink" Target="mailto:c-bhumika.kohli@bennett.edu.i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-hemant.singh@bennett.edu.i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c-yash.chaudhary@bennett.edu.in" TargetMode="External"/><Relationship Id="rId2" Type="http://schemas.openxmlformats.org/officeDocument/2006/relationships/hyperlink" Target="mailto:c-sneha.gupta@bennett.edu.in" TargetMode="External"/><Relationship Id="rId1" Type="http://schemas.openxmlformats.org/officeDocument/2006/relationships/hyperlink" Target="mailto:c-harsh.vardhan@bennet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6ABC-5BB7-4FDB-BCB9-B53C683684DF}">
  <dimension ref="A1:E10"/>
  <sheetViews>
    <sheetView tabSelected="1" zoomScale="115" zoomScaleNormal="115" workbookViewId="0">
      <selection activeCell="B6" sqref="B6:B7"/>
    </sheetView>
  </sheetViews>
  <sheetFormatPr defaultColWidth="13.28515625" defaultRowHeight="12"/>
  <cols>
    <col min="1" max="1" width="17" style="70" customWidth="1"/>
    <col min="2" max="2" width="15.85546875" style="70" customWidth="1"/>
    <col min="3" max="16384" width="13.28515625" style="70"/>
  </cols>
  <sheetData>
    <row r="1" spans="1:5">
      <c r="A1" s="66" t="s">
        <v>79</v>
      </c>
      <c r="B1" s="66"/>
      <c r="C1" s="66"/>
      <c r="D1" s="66"/>
      <c r="E1" s="69"/>
    </row>
    <row r="2" spans="1:5">
      <c r="A2" s="56" t="s">
        <v>6</v>
      </c>
      <c r="B2" s="56" t="s">
        <v>73</v>
      </c>
      <c r="C2" s="58" t="s">
        <v>75</v>
      </c>
      <c r="D2" s="58" t="s">
        <v>80</v>
      </c>
      <c r="E2" s="69"/>
    </row>
    <row r="3" spans="1:5">
      <c r="A3" s="57" t="s">
        <v>0</v>
      </c>
      <c r="B3" s="57">
        <f>SUM(Engineering!E35)</f>
        <v>1950</v>
      </c>
      <c r="C3" s="57">
        <f>Engineering!F35</f>
        <v>2270</v>
      </c>
      <c r="D3" s="57">
        <v>1753</v>
      </c>
      <c r="E3" s="69"/>
    </row>
    <row r="4" spans="1:5">
      <c r="A4" s="57" t="s">
        <v>1</v>
      </c>
      <c r="B4" s="57">
        <f>Management!E12</f>
        <v>525</v>
      </c>
      <c r="C4" s="57">
        <f>Management!F12</f>
        <v>615</v>
      </c>
      <c r="D4" s="57">
        <v>637</v>
      </c>
      <c r="E4" s="69"/>
    </row>
    <row r="5" spans="1:5">
      <c r="A5" s="57" t="s">
        <v>2</v>
      </c>
      <c r="B5" s="57">
        <f>Law!E8</f>
        <v>200</v>
      </c>
      <c r="C5" s="57">
        <f>'Media &amp; Liberal Arts'!F8</f>
        <v>175</v>
      </c>
      <c r="D5" s="57">
        <v>214</v>
      </c>
      <c r="E5" s="69"/>
    </row>
    <row r="6" spans="1:5">
      <c r="A6" s="65" t="s">
        <v>76</v>
      </c>
      <c r="B6" s="65">
        <f>'Media &amp; Liberal Arts'!E8</f>
        <v>125</v>
      </c>
      <c r="C6" s="65">
        <f>'Media &amp; Liberal Arts'!F8</f>
        <v>175</v>
      </c>
      <c r="D6" s="71">
        <v>152</v>
      </c>
      <c r="E6" s="69"/>
    </row>
    <row r="7" spans="1:5">
      <c r="A7" s="65"/>
      <c r="B7" s="65"/>
      <c r="C7" s="65"/>
      <c r="D7" s="72"/>
      <c r="E7" s="69"/>
    </row>
    <row r="8" spans="1:5">
      <c r="A8" s="57" t="s">
        <v>3</v>
      </c>
      <c r="B8" s="57">
        <f>Design!E6</f>
        <v>45</v>
      </c>
      <c r="C8" s="57">
        <f>Design!F6</f>
        <v>75</v>
      </c>
      <c r="D8" s="57">
        <v>41</v>
      </c>
      <c r="E8" s="69"/>
    </row>
    <row r="9" spans="1:5">
      <c r="A9" s="57" t="s">
        <v>5</v>
      </c>
      <c r="B9" s="57">
        <f>Inbound!E17</f>
        <v>420</v>
      </c>
      <c r="C9" s="57">
        <f>Inbound!F17</f>
        <v>490</v>
      </c>
      <c r="D9" s="57">
        <v>491</v>
      </c>
      <c r="E9" s="69"/>
    </row>
    <row r="10" spans="1:5">
      <c r="A10" s="73" t="s">
        <v>4</v>
      </c>
      <c r="B10" s="73">
        <f>SUM(B3:B9)</f>
        <v>3265</v>
      </c>
      <c r="C10" s="73">
        <f>SUM(C3:C9)</f>
        <v>3800</v>
      </c>
      <c r="D10" s="73">
        <f>SUM(D3:D9)</f>
        <v>3288</v>
      </c>
    </row>
  </sheetData>
  <mergeCells count="5">
    <mergeCell ref="A6:A7"/>
    <mergeCell ref="B6:B7"/>
    <mergeCell ref="C6:C7"/>
    <mergeCell ref="A1:D1"/>
    <mergeCell ref="D6:D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8898B-A4FE-4119-9647-7499A3BF506F}">
  <dimension ref="A1:J35"/>
  <sheetViews>
    <sheetView topLeftCell="A22" workbookViewId="0">
      <selection activeCell="F9" sqref="F9"/>
    </sheetView>
  </sheetViews>
  <sheetFormatPr defaultRowHeight="15"/>
  <cols>
    <col min="1" max="1" width="21" customWidth="1"/>
    <col min="2" max="2" width="13.140625" customWidth="1"/>
    <col min="3" max="3" width="10.140625" customWidth="1"/>
    <col min="4" max="4" width="32.140625" customWidth="1"/>
    <col min="5" max="5" width="17.85546875" customWidth="1"/>
    <col min="6" max="6" width="13.140625" customWidth="1"/>
    <col min="7" max="7" width="14.85546875" customWidth="1"/>
    <col min="8" max="8" width="12.7109375" bestFit="1" customWidth="1"/>
    <col min="9" max="9" width="10.85546875" customWidth="1"/>
    <col min="10" max="10" width="11.7109375" customWidth="1"/>
  </cols>
  <sheetData>
    <row r="1" spans="1:10">
      <c r="A1" s="62"/>
      <c r="B1" s="62"/>
      <c r="C1" s="62"/>
      <c r="D1" s="62"/>
      <c r="E1" s="62"/>
      <c r="F1" s="62"/>
      <c r="G1" s="62"/>
      <c r="H1" s="62"/>
      <c r="I1" s="62"/>
      <c r="J1" s="62"/>
    </row>
    <row r="2" spans="1:10">
      <c r="A2" s="13" t="s">
        <v>7</v>
      </c>
      <c r="B2" s="12" t="s">
        <v>82</v>
      </c>
      <c r="C2" s="13" t="s">
        <v>83</v>
      </c>
      <c r="D2" s="13" t="s">
        <v>84</v>
      </c>
      <c r="E2" s="14" t="s">
        <v>73</v>
      </c>
      <c r="F2" s="12" t="s">
        <v>74</v>
      </c>
      <c r="G2" s="11" t="s">
        <v>155</v>
      </c>
      <c r="H2" s="1" t="s">
        <v>80</v>
      </c>
      <c r="I2" s="12" t="s">
        <v>157</v>
      </c>
      <c r="J2" s="12" t="s">
        <v>158</v>
      </c>
    </row>
    <row r="3" spans="1:10">
      <c r="A3" s="15" t="s">
        <v>10</v>
      </c>
      <c r="B3" s="15" t="s">
        <v>85</v>
      </c>
      <c r="C3" s="16">
        <v>45985</v>
      </c>
      <c r="D3" s="17" t="s">
        <v>98</v>
      </c>
      <c r="E3" s="18">
        <v>80</v>
      </c>
      <c r="F3" s="18">
        <v>90</v>
      </c>
      <c r="G3" s="18"/>
      <c r="H3" s="19">
        <v>98</v>
      </c>
      <c r="I3" s="19">
        <f t="shared" ref="I3:I34" si="0">F3-H3</f>
        <v>-8</v>
      </c>
      <c r="J3" s="25">
        <f t="shared" ref="J3:J34" si="1">H3/F3</f>
        <v>1.0888888888888888</v>
      </c>
    </row>
    <row r="4" spans="1:10">
      <c r="A4" s="15" t="s">
        <v>71</v>
      </c>
      <c r="B4" s="15" t="s">
        <v>85</v>
      </c>
      <c r="C4" s="16">
        <v>46147</v>
      </c>
      <c r="D4" s="21" t="s">
        <v>148</v>
      </c>
      <c r="E4" s="18">
        <v>30</v>
      </c>
      <c r="F4" s="23">
        <v>40</v>
      </c>
      <c r="G4" s="23"/>
      <c r="H4" s="19">
        <v>42</v>
      </c>
      <c r="I4" s="19">
        <f t="shared" si="0"/>
        <v>-2</v>
      </c>
      <c r="J4" s="25">
        <f t="shared" si="1"/>
        <v>1.05</v>
      </c>
    </row>
    <row r="5" spans="1:10">
      <c r="A5" s="15" t="s">
        <v>23</v>
      </c>
      <c r="B5" s="15" t="s">
        <v>95</v>
      </c>
      <c r="C5" s="16">
        <v>46125</v>
      </c>
      <c r="D5" s="17" t="s">
        <v>109</v>
      </c>
      <c r="E5" s="18">
        <v>70</v>
      </c>
      <c r="F5" s="18">
        <v>80</v>
      </c>
      <c r="G5" s="18"/>
      <c r="H5" s="19">
        <v>83</v>
      </c>
      <c r="I5" s="19">
        <f t="shared" si="0"/>
        <v>-3</v>
      </c>
      <c r="J5" s="25">
        <f t="shared" si="1"/>
        <v>1.0375000000000001</v>
      </c>
    </row>
    <row r="6" spans="1:10">
      <c r="A6" s="15" t="s">
        <v>16</v>
      </c>
      <c r="B6" s="15" t="s">
        <v>85</v>
      </c>
      <c r="C6" s="16">
        <v>46106</v>
      </c>
      <c r="D6" s="17" t="s">
        <v>86</v>
      </c>
      <c r="E6" s="18">
        <v>100</v>
      </c>
      <c r="F6" s="18">
        <v>110</v>
      </c>
      <c r="G6" s="18"/>
      <c r="H6" s="19">
        <v>111</v>
      </c>
      <c r="I6" s="19">
        <f t="shared" si="0"/>
        <v>-1</v>
      </c>
      <c r="J6" s="25">
        <f t="shared" si="1"/>
        <v>1.009090909090909</v>
      </c>
    </row>
    <row r="7" spans="1:10">
      <c r="A7" s="15" t="s">
        <v>19</v>
      </c>
      <c r="B7" s="15" t="s">
        <v>85</v>
      </c>
      <c r="C7" s="16">
        <v>46125</v>
      </c>
      <c r="D7" s="17" t="s">
        <v>90</v>
      </c>
      <c r="E7" s="18">
        <v>80</v>
      </c>
      <c r="F7" s="18">
        <v>90</v>
      </c>
      <c r="G7" s="18"/>
      <c r="H7" s="19">
        <v>91</v>
      </c>
      <c r="I7" s="19">
        <f t="shared" si="0"/>
        <v>-1</v>
      </c>
      <c r="J7" s="25">
        <f t="shared" si="1"/>
        <v>1.0111111111111111</v>
      </c>
    </row>
    <row r="8" spans="1:10">
      <c r="A8" s="15" t="s">
        <v>11</v>
      </c>
      <c r="B8" s="15" t="s">
        <v>85</v>
      </c>
      <c r="C8" s="16">
        <v>45985</v>
      </c>
      <c r="D8" s="17" t="s">
        <v>88</v>
      </c>
      <c r="E8" s="18">
        <v>70</v>
      </c>
      <c r="F8" s="18">
        <v>80</v>
      </c>
      <c r="G8" s="18"/>
      <c r="H8" s="19">
        <v>77</v>
      </c>
      <c r="I8" s="19">
        <f t="shared" si="0"/>
        <v>3</v>
      </c>
      <c r="J8" s="25">
        <f t="shared" si="1"/>
        <v>0.96250000000000002</v>
      </c>
    </row>
    <row r="9" spans="1:10">
      <c r="A9" s="15" t="s">
        <v>14</v>
      </c>
      <c r="B9" s="15" t="s">
        <v>85</v>
      </c>
      <c r="C9" s="16">
        <v>46034</v>
      </c>
      <c r="D9" s="17" t="s">
        <v>104</v>
      </c>
      <c r="E9" s="18">
        <v>80</v>
      </c>
      <c r="F9" s="18">
        <v>90</v>
      </c>
      <c r="G9" s="18"/>
      <c r="H9" s="19">
        <v>86</v>
      </c>
      <c r="I9" s="19">
        <f t="shared" si="0"/>
        <v>4</v>
      </c>
      <c r="J9" s="25">
        <f t="shared" si="1"/>
        <v>0.9555555555555556</v>
      </c>
    </row>
    <row r="10" spans="1:10">
      <c r="A10" s="15" t="s">
        <v>72</v>
      </c>
      <c r="B10" s="15" t="s">
        <v>85</v>
      </c>
      <c r="C10" s="16">
        <v>46034</v>
      </c>
      <c r="D10" s="17" t="s">
        <v>94</v>
      </c>
      <c r="E10" s="18">
        <v>80</v>
      </c>
      <c r="F10" s="18">
        <v>90</v>
      </c>
      <c r="G10" s="18"/>
      <c r="H10" s="19">
        <v>85</v>
      </c>
      <c r="I10" s="19">
        <f t="shared" si="0"/>
        <v>5</v>
      </c>
      <c r="J10" s="25">
        <f t="shared" si="1"/>
        <v>0.94444444444444442</v>
      </c>
    </row>
    <row r="11" spans="1:10">
      <c r="A11" s="20" t="s">
        <v>8</v>
      </c>
      <c r="B11" s="15" t="s">
        <v>85</v>
      </c>
      <c r="C11" s="16">
        <v>45352</v>
      </c>
      <c r="D11" s="17" t="s">
        <v>93</v>
      </c>
      <c r="E11" s="18">
        <v>80</v>
      </c>
      <c r="F11" s="18">
        <v>90</v>
      </c>
      <c r="G11" s="18"/>
      <c r="H11" s="19">
        <v>84</v>
      </c>
      <c r="I11" s="19">
        <f t="shared" si="0"/>
        <v>6</v>
      </c>
      <c r="J11" s="25">
        <f t="shared" si="1"/>
        <v>0.93333333333333335</v>
      </c>
    </row>
    <row r="12" spans="1:10">
      <c r="A12" s="15" t="s">
        <v>24</v>
      </c>
      <c r="B12" s="15" t="s">
        <v>85</v>
      </c>
      <c r="C12" s="16">
        <v>46126</v>
      </c>
      <c r="D12" s="17" t="s">
        <v>105</v>
      </c>
      <c r="E12" s="18">
        <v>70</v>
      </c>
      <c r="F12" s="18">
        <v>80</v>
      </c>
      <c r="G12" s="18"/>
      <c r="H12" s="19">
        <v>73</v>
      </c>
      <c r="I12" s="19">
        <f t="shared" si="0"/>
        <v>7</v>
      </c>
      <c r="J12" s="25">
        <f t="shared" si="1"/>
        <v>0.91249999999999998</v>
      </c>
    </row>
    <row r="13" spans="1:10">
      <c r="A13" s="15" t="s">
        <v>20</v>
      </c>
      <c r="B13" s="15" t="s">
        <v>85</v>
      </c>
      <c r="C13" s="16">
        <v>46125</v>
      </c>
      <c r="D13" s="17" t="s">
        <v>106</v>
      </c>
      <c r="E13" s="18">
        <v>50</v>
      </c>
      <c r="F13" s="18">
        <v>60</v>
      </c>
      <c r="G13" s="18"/>
      <c r="H13" s="19">
        <v>53</v>
      </c>
      <c r="I13" s="19">
        <f t="shared" si="0"/>
        <v>7</v>
      </c>
      <c r="J13" s="25">
        <f t="shared" si="1"/>
        <v>0.8833333333333333</v>
      </c>
    </row>
    <row r="14" spans="1:10">
      <c r="A14" s="15" t="s">
        <v>28</v>
      </c>
      <c r="B14" s="15" t="s">
        <v>95</v>
      </c>
      <c r="C14" s="16">
        <v>46129</v>
      </c>
      <c r="D14" s="17" t="s">
        <v>96</v>
      </c>
      <c r="E14" s="18">
        <v>50</v>
      </c>
      <c r="F14" s="18">
        <v>60</v>
      </c>
      <c r="G14" s="18"/>
      <c r="H14" s="19">
        <v>52</v>
      </c>
      <c r="I14" s="19">
        <f t="shared" si="0"/>
        <v>8</v>
      </c>
      <c r="J14" s="25">
        <f t="shared" si="1"/>
        <v>0.8666666666666667</v>
      </c>
    </row>
    <row r="15" spans="1:10">
      <c r="A15" s="22" t="s">
        <v>9</v>
      </c>
      <c r="B15" s="15" t="s">
        <v>85</v>
      </c>
      <c r="C15" s="16">
        <v>46113</v>
      </c>
      <c r="D15" s="17" t="s">
        <v>111</v>
      </c>
      <c r="E15" s="18">
        <v>100</v>
      </c>
      <c r="F15" s="18">
        <v>110</v>
      </c>
      <c r="G15" s="18"/>
      <c r="H15" s="19">
        <v>94</v>
      </c>
      <c r="I15" s="19">
        <f t="shared" si="0"/>
        <v>16</v>
      </c>
      <c r="J15" s="25">
        <f t="shared" si="1"/>
        <v>0.8545454545454545</v>
      </c>
    </row>
    <row r="16" spans="1:10">
      <c r="A16" s="39" t="s">
        <v>81</v>
      </c>
      <c r="B16" s="39" t="s">
        <v>85</v>
      </c>
      <c r="C16" s="44">
        <v>46180</v>
      </c>
      <c r="D16" s="48" t="s">
        <v>112</v>
      </c>
      <c r="E16" s="39">
        <v>80</v>
      </c>
      <c r="F16" s="46">
        <v>90</v>
      </c>
      <c r="G16" s="46"/>
      <c r="H16" s="42">
        <v>75</v>
      </c>
      <c r="I16" s="42">
        <f t="shared" si="0"/>
        <v>15</v>
      </c>
      <c r="J16" s="43">
        <f t="shared" si="1"/>
        <v>0.83333333333333337</v>
      </c>
    </row>
    <row r="17" spans="1:10">
      <c r="A17" s="15" t="s">
        <v>21</v>
      </c>
      <c r="B17" s="15" t="s">
        <v>95</v>
      </c>
      <c r="C17" s="16">
        <v>46125</v>
      </c>
      <c r="D17" s="17" t="s">
        <v>97</v>
      </c>
      <c r="E17" s="18">
        <v>50</v>
      </c>
      <c r="F17" s="18">
        <v>60</v>
      </c>
      <c r="G17" s="18"/>
      <c r="H17" s="19">
        <v>50</v>
      </c>
      <c r="I17" s="19">
        <f t="shared" si="0"/>
        <v>10</v>
      </c>
      <c r="J17" s="25">
        <f t="shared" si="1"/>
        <v>0.83333333333333337</v>
      </c>
    </row>
    <row r="18" spans="1:10">
      <c r="A18" s="15" t="s">
        <v>22</v>
      </c>
      <c r="B18" s="15" t="s">
        <v>95</v>
      </c>
      <c r="C18" s="16">
        <v>46125</v>
      </c>
      <c r="D18" s="17" t="s">
        <v>100</v>
      </c>
      <c r="E18" s="18">
        <v>60</v>
      </c>
      <c r="F18" s="18">
        <v>70</v>
      </c>
      <c r="G18" s="18"/>
      <c r="H18" s="19">
        <v>58</v>
      </c>
      <c r="I18" s="19">
        <f t="shared" si="0"/>
        <v>12</v>
      </c>
      <c r="J18" s="25">
        <f t="shared" si="1"/>
        <v>0.82857142857142863</v>
      </c>
    </row>
    <row r="19" spans="1:10">
      <c r="A19" s="15" t="s">
        <v>26</v>
      </c>
      <c r="B19" s="15" t="s">
        <v>85</v>
      </c>
      <c r="C19" s="16">
        <v>46128</v>
      </c>
      <c r="D19" s="17" t="s">
        <v>92</v>
      </c>
      <c r="E19" s="15">
        <v>50</v>
      </c>
      <c r="F19" s="15">
        <v>60</v>
      </c>
      <c r="G19" s="15"/>
      <c r="H19" s="60">
        <v>49</v>
      </c>
      <c r="I19" s="60">
        <f t="shared" si="0"/>
        <v>11</v>
      </c>
      <c r="J19" s="61">
        <f t="shared" si="1"/>
        <v>0.81666666666666665</v>
      </c>
    </row>
    <row r="20" spans="1:10">
      <c r="A20" s="15" t="s">
        <v>18</v>
      </c>
      <c r="B20" s="15" t="s">
        <v>95</v>
      </c>
      <c r="C20" s="16">
        <v>46121</v>
      </c>
      <c r="D20" s="17" t="s">
        <v>103</v>
      </c>
      <c r="E20" s="15">
        <v>60</v>
      </c>
      <c r="F20" s="15">
        <v>70</v>
      </c>
      <c r="G20" s="15"/>
      <c r="H20" s="60">
        <v>54</v>
      </c>
      <c r="I20" s="60">
        <f t="shared" si="0"/>
        <v>16</v>
      </c>
      <c r="J20" s="61">
        <f t="shared" si="1"/>
        <v>0.77142857142857146</v>
      </c>
    </row>
    <row r="21" spans="1:10">
      <c r="A21" s="15" t="s">
        <v>12</v>
      </c>
      <c r="B21" s="15" t="s">
        <v>85</v>
      </c>
      <c r="C21" s="16">
        <v>46006</v>
      </c>
      <c r="D21" s="17" t="s">
        <v>108</v>
      </c>
      <c r="E21" s="15">
        <v>80</v>
      </c>
      <c r="F21" s="15">
        <v>90</v>
      </c>
      <c r="G21" s="15"/>
      <c r="H21" s="60">
        <v>65</v>
      </c>
      <c r="I21" s="60">
        <f t="shared" si="0"/>
        <v>25</v>
      </c>
      <c r="J21" s="61">
        <f t="shared" si="1"/>
        <v>0.72222222222222221</v>
      </c>
    </row>
    <row r="22" spans="1:10">
      <c r="A22" s="49" t="s">
        <v>27</v>
      </c>
      <c r="B22" s="49" t="s">
        <v>95</v>
      </c>
      <c r="C22" s="50">
        <v>46128</v>
      </c>
      <c r="D22" s="51" t="s">
        <v>101</v>
      </c>
      <c r="E22" s="49">
        <v>50</v>
      </c>
      <c r="F22" s="49">
        <v>60</v>
      </c>
      <c r="G22" s="49"/>
      <c r="H22" s="24">
        <v>40</v>
      </c>
      <c r="I22" s="24">
        <f t="shared" si="0"/>
        <v>20</v>
      </c>
      <c r="J22" s="31">
        <f t="shared" si="1"/>
        <v>0.66666666666666663</v>
      </c>
    </row>
    <row r="23" spans="1:10">
      <c r="A23" s="49" t="s">
        <v>17</v>
      </c>
      <c r="B23" s="49" t="s">
        <v>85</v>
      </c>
      <c r="C23" s="50">
        <v>46121</v>
      </c>
      <c r="D23" s="51" t="s">
        <v>99</v>
      </c>
      <c r="E23" s="49">
        <v>50</v>
      </c>
      <c r="F23" s="49">
        <v>60</v>
      </c>
      <c r="G23" s="49"/>
      <c r="H23" s="24">
        <v>36</v>
      </c>
      <c r="I23" s="24">
        <f t="shared" si="0"/>
        <v>24</v>
      </c>
      <c r="J23" s="31">
        <f t="shared" si="1"/>
        <v>0.6</v>
      </c>
    </row>
    <row r="24" spans="1:10">
      <c r="A24" s="49" t="s">
        <v>33</v>
      </c>
      <c r="B24" s="49" t="s">
        <v>95</v>
      </c>
      <c r="C24" s="53">
        <v>46181</v>
      </c>
      <c r="D24" s="54" t="s">
        <v>146</v>
      </c>
      <c r="E24" s="49">
        <v>40</v>
      </c>
      <c r="F24" s="49">
        <v>50</v>
      </c>
      <c r="G24" s="49"/>
      <c r="H24" s="24">
        <v>29</v>
      </c>
      <c r="I24" s="24">
        <f t="shared" si="0"/>
        <v>21</v>
      </c>
      <c r="J24" s="31">
        <f t="shared" si="1"/>
        <v>0.57999999999999996</v>
      </c>
    </row>
    <row r="25" spans="1:10">
      <c r="A25" s="49" t="s">
        <v>13</v>
      </c>
      <c r="B25" s="49" t="s">
        <v>85</v>
      </c>
      <c r="C25" s="50">
        <v>46020</v>
      </c>
      <c r="D25" s="51" t="s">
        <v>87</v>
      </c>
      <c r="E25" s="49">
        <v>80</v>
      </c>
      <c r="F25" s="49">
        <v>90</v>
      </c>
      <c r="G25" s="49"/>
      <c r="H25" s="24">
        <v>52</v>
      </c>
      <c r="I25" s="24">
        <f t="shared" si="0"/>
        <v>38</v>
      </c>
      <c r="J25" s="31">
        <f t="shared" si="1"/>
        <v>0.57777777777777772</v>
      </c>
    </row>
    <row r="26" spans="1:10">
      <c r="A26" s="49" t="s">
        <v>25</v>
      </c>
      <c r="B26" s="49" t="s">
        <v>85</v>
      </c>
      <c r="C26" s="50">
        <v>46128</v>
      </c>
      <c r="D26" s="51" t="s">
        <v>89</v>
      </c>
      <c r="E26" s="49">
        <v>50</v>
      </c>
      <c r="F26" s="49">
        <v>60</v>
      </c>
      <c r="G26" s="49"/>
      <c r="H26" s="24">
        <v>33</v>
      </c>
      <c r="I26" s="24">
        <f t="shared" si="0"/>
        <v>27</v>
      </c>
      <c r="J26" s="31">
        <f t="shared" si="1"/>
        <v>0.55000000000000004</v>
      </c>
    </row>
    <row r="27" spans="1:10">
      <c r="A27" s="49" t="s">
        <v>29</v>
      </c>
      <c r="B27" s="49" t="s">
        <v>95</v>
      </c>
      <c r="C27" s="50">
        <v>46132</v>
      </c>
      <c r="D27" s="51" t="s">
        <v>102</v>
      </c>
      <c r="E27" s="49">
        <v>50</v>
      </c>
      <c r="F27" s="49">
        <v>60</v>
      </c>
      <c r="G27" s="49"/>
      <c r="H27" s="24">
        <v>31</v>
      </c>
      <c r="I27" s="24">
        <f t="shared" si="0"/>
        <v>29</v>
      </c>
      <c r="J27" s="31">
        <f t="shared" si="1"/>
        <v>0.51666666666666672</v>
      </c>
    </row>
    <row r="28" spans="1:10">
      <c r="A28" s="39" t="s">
        <v>32</v>
      </c>
      <c r="B28" s="39" t="s">
        <v>85</v>
      </c>
      <c r="C28" s="40">
        <v>46181</v>
      </c>
      <c r="D28" s="41" t="s">
        <v>145</v>
      </c>
      <c r="E28" s="39">
        <v>50</v>
      </c>
      <c r="F28" s="39">
        <v>60</v>
      </c>
      <c r="G28" s="39"/>
      <c r="H28" s="42">
        <v>29</v>
      </c>
      <c r="I28" s="42">
        <f t="shared" si="0"/>
        <v>31</v>
      </c>
      <c r="J28" s="43">
        <f t="shared" si="1"/>
        <v>0.48333333333333334</v>
      </c>
    </row>
    <row r="29" spans="1:10">
      <c r="A29" s="49" t="s">
        <v>70</v>
      </c>
      <c r="B29" s="49" t="s">
        <v>95</v>
      </c>
      <c r="C29" s="50">
        <v>46126</v>
      </c>
      <c r="D29" s="51" t="s">
        <v>110</v>
      </c>
      <c r="E29" s="49">
        <v>50</v>
      </c>
      <c r="F29" s="49">
        <v>60</v>
      </c>
      <c r="G29" s="49"/>
      <c r="H29" s="24">
        <v>29</v>
      </c>
      <c r="I29" s="24">
        <f t="shared" si="0"/>
        <v>31</v>
      </c>
      <c r="J29" s="31">
        <f t="shared" si="1"/>
        <v>0.48333333333333334</v>
      </c>
    </row>
    <row r="30" spans="1:10">
      <c r="A30" s="49" t="s">
        <v>31</v>
      </c>
      <c r="B30" s="49" t="s">
        <v>95</v>
      </c>
      <c r="C30" s="50">
        <v>46174</v>
      </c>
      <c r="D30" s="52" t="s">
        <v>147</v>
      </c>
      <c r="E30" s="49">
        <v>50</v>
      </c>
      <c r="F30" s="49">
        <v>60</v>
      </c>
      <c r="G30" s="49"/>
      <c r="H30" s="24">
        <v>24</v>
      </c>
      <c r="I30" s="24">
        <f t="shared" si="0"/>
        <v>36</v>
      </c>
      <c r="J30" s="31">
        <f t="shared" si="1"/>
        <v>0.4</v>
      </c>
    </row>
    <row r="31" spans="1:10">
      <c r="A31" s="39" t="s">
        <v>56</v>
      </c>
      <c r="B31" s="39" t="s">
        <v>85</v>
      </c>
      <c r="C31" s="44">
        <v>46128</v>
      </c>
      <c r="D31" s="45" t="s">
        <v>150</v>
      </c>
      <c r="E31" s="39">
        <v>30</v>
      </c>
      <c r="F31" s="46">
        <v>40</v>
      </c>
      <c r="G31" s="46"/>
      <c r="H31" s="42">
        <v>15</v>
      </c>
      <c r="I31" s="42">
        <f t="shared" si="0"/>
        <v>25</v>
      </c>
      <c r="J31" s="43">
        <f t="shared" si="1"/>
        <v>0.375</v>
      </c>
    </row>
    <row r="32" spans="1:10">
      <c r="A32" s="39" t="s">
        <v>77</v>
      </c>
      <c r="B32" s="39" t="s">
        <v>95</v>
      </c>
      <c r="C32" s="44">
        <v>46153</v>
      </c>
      <c r="D32" s="47" t="s">
        <v>149</v>
      </c>
      <c r="E32" s="39">
        <v>30</v>
      </c>
      <c r="F32" s="46">
        <v>40</v>
      </c>
      <c r="G32" s="46"/>
      <c r="H32" s="42">
        <v>14</v>
      </c>
      <c r="I32" s="42">
        <f t="shared" si="0"/>
        <v>26</v>
      </c>
      <c r="J32" s="43">
        <f t="shared" si="1"/>
        <v>0.35</v>
      </c>
    </row>
    <row r="33" spans="1:10">
      <c r="A33" s="49" t="s">
        <v>30</v>
      </c>
      <c r="B33" s="49" t="s">
        <v>95</v>
      </c>
      <c r="C33" s="50">
        <v>46132</v>
      </c>
      <c r="D33" s="51" t="s">
        <v>107</v>
      </c>
      <c r="E33" s="49">
        <v>50</v>
      </c>
      <c r="F33" s="49">
        <v>60</v>
      </c>
      <c r="G33" s="49"/>
      <c r="H33" s="24">
        <v>21</v>
      </c>
      <c r="I33" s="24">
        <f t="shared" si="0"/>
        <v>39</v>
      </c>
      <c r="J33" s="31">
        <f t="shared" si="1"/>
        <v>0.35</v>
      </c>
    </row>
    <row r="34" spans="1:10">
      <c r="A34" s="39" t="s">
        <v>15</v>
      </c>
      <c r="B34" s="39" t="s">
        <v>85</v>
      </c>
      <c r="C34" s="44">
        <v>46080</v>
      </c>
      <c r="D34" s="48" t="s">
        <v>91</v>
      </c>
      <c r="E34" s="39">
        <v>50</v>
      </c>
      <c r="F34" s="39">
        <v>60</v>
      </c>
      <c r="G34" s="39"/>
      <c r="H34" s="42">
        <v>20</v>
      </c>
      <c r="I34" s="42">
        <f t="shared" si="0"/>
        <v>40</v>
      </c>
      <c r="J34" s="43">
        <f t="shared" si="1"/>
        <v>0.33333333333333331</v>
      </c>
    </row>
    <row r="35" spans="1:10">
      <c r="A35" s="63"/>
      <c r="B35" s="63"/>
      <c r="C35" s="63"/>
      <c r="D35" s="64"/>
      <c r="E35" s="12">
        <f>SUM(E3:E34)</f>
        <v>1950</v>
      </c>
      <c r="F35" s="12">
        <f>SUM(F3:F34)</f>
        <v>2270</v>
      </c>
      <c r="G35" s="11"/>
      <c r="H35" s="24">
        <f>SUM(H3:H34)</f>
        <v>1753</v>
      </c>
      <c r="I35" s="24">
        <f>SUM(I3:I34)</f>
        <v>517</v>
      </c>
      <c r="J35" s="31">
        <f t="shared" ref="J35" si="2">H35/F35</f>
        <v>0.77224669603524232</v>
      </c>
    </row>
  </sheetData>
  <sortState xmlns:xlrd2="http://schemas.microsoft.com/office/spreadsheetml/2017/richdata2" ref="A3:J34">
    <sortCondition descending="1" ref="J3:J34"/>
  </sortState>
  <mergeCells count="2">
    <mergeCell ref="A1:J1"/>
    <mergeCell ref="A35:D35"/>
  </mergeCells>
  <hyperlinks>
    <hyperlink ref="D28" r:id="rId1" xr:uid="{C699A92B-270A-4E11-A6E5-39B443B21973}"/>
    <hyperlink ref="D24" r:id="rId2" xr:uid="{BCE50949-5AA1-42DF-A4C1-2F51E10214F4}"/>
    <hyperlink ref="D30" r:id="rId3" xr:uid="{936A6D1B-6666-448A-8835-4EEB6FE86820}"/>
    <hyperlink ref="D4" r:id="rId4" xr:uid="{9A9658FE-12AC-44A0-8078-6191E583713D}"/>
    <hyperlink ref="D32" r:id="rId5" xr:uid="{6FAB4B0D-D25F-43EE-9151-E6E60EABDBDD}"/>
    <hyperlink ref="D31" r:id="rId6" xr:uid="{341214A6-29A8-440A-8BB2-3A1D3DBD283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291E-3997-4884-A0F9-50F976EA3CC6}">
  <dimension ref="A1:J12"/>
  <sheetViews>
    <sheetView workbookViewId="0">
      <selection activeCell="A6" sqref="A6"/>
    </sheetView>
  </sheetViews>
  <sheetFormatPr defaultRowHeight="15"/>
  <cols>
    <col min="1" max="1" width="18.140625" customWidth="1"/>
    <col min="2" max="2" width="13.140625" customWidth="1"/>
    <col min="3" max="3" width="10.140625" customWidth="1"/>
    <col min="4" max="4" width="29.85546875" customWidth="1"/>
    <col min="5" max="5" width="15.42578125" customWidth="1"/>
    <col min="6" max="6" width="12.5703125" customWidth="1"/>
    <col min="7" max="7" width="15.28515625" hidden="1" customWidth="1"/>
    <col min="8" max="8" width="14.42578125" customWidth="1"/>
    <col min="9" max="9" width="14.140625" customWidth="1"/>
    <col min="10" max="10" width="12.85546875" customWidth="1"/>
  </cols>
  <sheetData>
    <row r="1" spans="1:10">
      <c r="A1" s="62"/>
      <c r="B1" s="62"/>
      <c r="C1" s="62"/>
      <c r="D1" s="62"/>
      <c r="E1" s="62"/>
      <c r="F1" s="62"/>
      <c r="G1" s="62"/>
      <c r="H1" s="62"/>
      <c r="I1" s="62"/>
      <c r="J1" s="62"/>
    </row>
    <row r="2" spans="1:10">
      <c r="A2" s="13" t="s">
        <v>7</v>
      </c>
      <c r="B2" s="55" t="s">
        <v>82</v>
      </c>
      <c r="C2" s="55" t="s">
        <v>83</v>
      </c>
      <c r="D2" s="55" t="s">
        <v>84</v>
      </c>
      <c r="E2" s="4" t="s">
        <v>73</v>
      </c>
      <c r="F2" s="12" t="s">
        <v>74</v>
      </c>
      <c r="G2" s="3" t="s">
        <v>156</v>
      </c>
      <c r="H2" s="2" t="s">
        <v>80</v>
      </c>
      <c r="I2" s="12" t="s">
        <v>157</v>
      </c>
      <c r="J2" s="12" t="s">
        <v>158</v>
      </c>
    </row>
    <row r="3" spans="1:10">
      <c r="A3" s="6" t="s">
        <v>36</v>
      </c>
      <c r="B3" s="6" t="s">
        <v>85</v>
      </c>
      <c r="C3" s="7">
        <v>46104</v>
      </c>
      <c r="D3" s="8" t="s">
        <v>137</v>
      </c>
      <c r="E3" s="18">
        <v>70</v>
      </c>
      <c r="F3" s="5">
        <v>80</v>
      </c>
      <c r="G3" s="5"/>
      <c r="H3" s="19">
        <v>94</v>
      </c>
      <c r="I3" s="19">
        <f t="shared" ref="I3:I11" si="0">F3-H3</f>
        <v>-14</v>
      </c>
      <c r="J3" s="25">
        <f t="shared" ref="J3:J11" si="1">H3/F3</f>
        <v>1.175</v>
      </c>
    </row>
    <row r="4" spans="1:10">
      <c r="A4" s="6" t="s">
        <v>34</v>
      </c>
      <c r="B4" s="6" t="s">
        <v>85</v>
      </c>
      <c r="C4" s="7">
        <v>46006</v>
      </c>
      <c r="D4" s="8" t="s">
        <v>141</v>
      </c>
      <c r="E4" s="18">
        <v>70</v>
      </c>
      <c r="F4" s="5">
        <v>80</v>
      </c>
      <c r="G4" s="5"/>
      <c r="H4" s="19">
        <v>90</v>
      </c>
      <c r="I4" s="19">
        <f t="shared" si="0"/>
        <v>-10</v>
      </c>
      <c r="J4" s="25">
        <f t="shared" si="1"/>
        <v>1.125</v>
      </c>
    </row>
    <row r="5" spans="1:10">
      <c r="A5" s="6" t="s">
        <v>39</v>
      </c>
      <c r="B5" s="6" t="s">
        <v>85</v>
      </c>
      <c r="C5" s="7">
        <v>46128</v>
      </c>
      <c r="D5" s="8" t="s">
        <v>144</v>
      </c>
      <c r="E5" s="5">
        <v>50</v>
      </c>
      <c r="F5" s="5">
        <v>60</v>
      </c>
      <c r="G5" s="5"/>
      <c r="H5" s="19">
        <v>66</v>
      </c>
      <c r="I5" s="19">
        <f t="shared" si="0"/>
        <v>-6</v>
      </c>
      <c r="J5" s="25">
        <f t="shared" si="1"/>
        <v>1.1000000000000001</v>
      </c>
    </row>
    <row r="6" spans="1:10">
      <c r="A6" s="6" t="s">
        <v>35</v>
      </c>
      <c r="B6" s="6" t="s">
        <v>85</v>
      </c>
      <c r="C6" s="7">
        <v>46006</v>
      </c>
      <c r="D6" s="8" t="s">
        <v>143</v>
      </c>
      <c r="E6" s="18">
        <v>70</v>
      </c>
      <c r="F6" s="5">
        <v>80</v>
      </c>
      <c r="G6" s="5"/>
      <c r="H6" s="19">
        <v>85</v>
      </c>
      <c r="I6" s="19">
        <f t="shared" si="0"/>
        <v>-5</v>
      </c>
      <c r="J6" s="25">
        <f t="shared" si="1"/>
        <v>1.0625</v>
      </c>
    </row>
    <row r="7" spans="1:10">
      <c r="A7" s="6" t="s">
        <v>41</v>
      </c>
      <c r="B7" s="6" t="s">
        <v>95</v>
      </c>
      <c r="C7" s="7">
        <v>46153</v>
      </c>
      <c r="D7" s="8" t="s">
        <v>140</v>
      </c>
      <c r="E7" s="5">
        <v>45</v>
      </c>
      <c r="F7" s="5">
        <v>55</v>
      </c>
      <c r="G7" s="5"/>
      <c r="H7" s="19">
        <v>58</v>
      </c>
      <c r="I7" s="19">
        <f t="shared" si="0"/>
        <v>-3</v>
      </c>
      <c r="J7" s="25">
        <f t="shared" si="1"/>
        <v>1.0545454545454545</v>
      </c>
    </row>
    <row r="8" spans="1:10">
      <c r="A8" s="6" t="s">
        <v>37</v>
      </c>
      <c r="B8" s="6" t="s">
        <v>85</v>
      </c>
      <c r="C8" s="7">
        <v>46125</v>
      </c>
      <c r="D8" s="8" t="s">
        <v>142</v>
      </c>
      <c r="E8" s="18">
        <v>70</v>
      </c>
      <c r="F8" s="5">
        <v>80</v>
      </c>
      <c r="G8" s="5"/>
      <c r="H8" s="19">
        <v>81</v>
      </c>
      <c r="I8" s="19">
        <f t="shared" si="0"/>
        <v>-1</v>
      </c>
      <c r="J8" s="25">
        <f t="shared" si="1"/>
        <v>1.0125</v>
      </c>
    </row>
    <row r="9" spans="1:10">
      <c r="A9" s="6" t="s">
        <v>38</v>
      </c>
      <c r="B9" s="6" t="s">
        <v>85</v>
      </c>
      <c r="C9" s="7">
        <v>46125</v>
      </c>
      <c r="D9" s="8" t="s">
        <v>138</v>
      </c>
      <c r="E9" s="18">
        <v>70</v>
      </c>
      <c r="F9" s="5">
        <v>80</v>
      </c>
      <c r="G9" s="5"/>
      <c r="H9" s="19">
        <v>80</v>
      </c>
      <c r="I9" s="19">
        <f t="shared" si="0"/>
        <v>0</v>
      </c>
      <c r="J9" s="25">
        <f t="shared" si="1"/>
        <v>1</v>
      </c>
    </row>
    <row r="10" spans="1:10">
      <c r="A10" s="6" t="s">
        <v>42</v>
      </c>
      <c r="B10" s="6" t="s">
        <v>95</v>
      </c>
      <c r="C10" s="7">
        <v>46181</v>
      </c>
      <c r="D10" s="9" t="s">
        <v>151</v>
      </c>
      <c r="E10" s="5">
        <v>35</v>
      </c>
      <c r="F10" s="5">
        <v>45</v>
      </c>
      <c r="G10" s="5"/>
      <c r="H10" s="19">
        <v>38</v>
      </c>
      <c r="I10" s="19">
        <f t="shared" si="0"/>
        <v>7</v>
      </c>
      <c r="J10" s="25">
        <f t="shared" si="1"/>
        <v>0.84444444444444444</v>
      </c>
    </row>
    <row r="11" spans="1:10">
      <c r="A11" s="6" t="s">
        <v>40</v>
      </c>
      <c r="B11" s="6" t="s">
        <v>95</v>
      </c>
      <c r="C11" s="7">
        <v>46128</v>
      </c>
      <c r="D11" s="8" t="s">
        <v>139</v>
      </c>
      <c r="E11" s="5">
        <v>45</v>
      </c>
      <c r="F11" s="5">
        <v>55</v>
      </c>
      <c r="G11" s="5"/>
      <c r="H11" s="19">
        <v>45</v>
      </c>
      <c r="I11" s="19">
        <f t="shared" si="0"/>
        <v>10</v>
      </c>
      <c r="J11" s="25">
        <f t="shared" si="1"/>
        <v>0.81818181818181823</v>
      </c>
    </row>
    <row r="12" spans="1:10">
      <c r="A12" s="63"/>
      <c r="B12" s="63"/>
      <c r="C12" s="63"/>
      <c r="D12" s="64"/>
      <c r="E12" s="4">
        <f>SUM(E3:E11)</f>
        <v>525</v>
      </c>
      <c r="F12" s="12">
        <f>SUM(F3:F11)</f>
        <v>615</v>
      </c>
      <c r="G12" s="3"/>
      <c r="H12" s="10">
        <f>SUM(H3:H11)</f>
        <v>637</v>
      </c>
      <c r="I12" s="10">
        <f>SUM(I3:I11)</f>
        <v>-22</v>
      </c>
      <c r="J12" s="32">
        <f t="shared" ref="J12" si="2">H12/F12</f>
        <v>1.0357723577235773</v>
      </c>
    </row>
  </sheetData>
  <sortState xmlns:xlrd2="http://schemas.microsoft.com/office/spreadsheetml/2017/richdata2" ref="A3:J11">
    <sortCondition descending="1" ref="J3:J11"/>
  </sortState>
  <mergeCells count="2">
    <mergeCell ref="A1:J1"/>
    <mergeCell ref="A12:D12"/>
  </mergeCells>
  <hyperlinks>
    <hyperlink ref="D10" r:id="rId1" xr:uid="{0D5B1FBD-16A2-4B34-AA34-78B9C81C179F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1E8F-2FF5-44E3-A140-E65414AD84BC}">
  <dimension ref="A1:J8"/>
  <sheetViews>
    <sheetView workbookViewId="0">
      <selection activeCell="B3" sqref="B3:D3"/>
    </sheetView>
  </sheetViews>
  <sheetFormatPr defaultRowHeight="15"/>
  <cols>
    <col min="1" max="1" width="16.5703125" customWidth="1"/>
    <col min="2" max="2" width="13.140625" customWidth="1"/>
    <col min="3" max="3" width="10.140625" customWidth="1"/>
    <col min="4" max="4" width="28.5703125" customWidth="1"/>
    <col min="5" max="5" width="15" customWidth="1"/>
    <col min="6" max="6" width="12.42578125" customWidth="1"/>
    <col min="7" max="7" width="15.28515625" hidden="1" customWidth="1"/>
    <col min="8" max="8" width="12.7109375" customWidth="1"/>
    <col min="9" max="9" width="12.5703125" customWidth="1"/>
    <col min="10" max="10" width="12" customWidth="1"/>
  </cols>
  <sheetData>
    <row r="1" spans="1:10">
      <c r="A1" s="62"/>
      <c r="B1" s="62"/>
      <c r="C1" s="62"/>
      <c r="D1" s="62"/>
      <c r="E1" s="62"/>
      <c r="F1" s="62"/>
      <c r="G1" s="62"/>
      <c r="H1" s="62"/>
      <c r="I1" s="62"/>
      <c r="J1" s="62"/>
    </row>
    <row r="2" spans="1:10">
      <c r="A2" s="13" t="s">
        <v>7</v>
      </c>
      <c r="B2" s="13" t="s">
        <v>82</v>
      </c>
      <c r="C2" s="13" t="s">
        <v>83</v>
      </c>
      <c r="D2" s="13" t="s">
        <v>84</v>
      </c>
      <c r="E2" s="14" t="s">
        <v>73</v>
      </c>
      <c r="F2" s="12" t="s">
        <v>74</v>
      </c>
      <c r="G2" s="11" t="s">
        <v>156</v>
      </c>
      <c r="H2" s="1" t="s">
        <v>80</v>
      </c>
      <c r="I2" s="12" t="s">
        <v>157</v>
      </c>
      <c r="J2" s="12" t="s">
        <v>158</v>
      </c>
    </row>
    <row r="3" spans="1:10">
      <c r="A3" s="15" t="s">
        <v>44</v>
      </c>
      <c r="B3" s="15" t="s">
        <v>85</v>
      </c>
      <c r="C3" s="16">
        <v>45985</v>
      </c>
      <c r="D3" s="15" t="s">
        <v>131</v>
      </c>
      <c r="E3" s="27">
        <v>50</v>
      </c>
      <c r="F3" s="28">
        <v>60</v>
      </c>
      <c r="G3" s="28"/>
      <c r="H3" s="23">
        <v>60</v>
      </c>
      <c r="I3" s="19">
        <f>F3-H3</f>
        <v>0</v>
      </c>
      <c r="J3" s="25">
        <f>H3/F3</f>
        <v>1</v>
      </c>
    </row>
    <row r="4" spans="1:10">
      <c r="A4" s="15" t="s">
        <v>43</v>
      </c>
      <c r="B4" s="15" t="s">
        <v>85</v>
      </c>
      <c r="C4" s="16">
        <v>45962</v>
      </c>
      <c r="D4" s="15" t="s">
        <v>130</v>
      </c>
      <c r="E4" s="27">
        <v>40</v>
      </c>
      <c r="F4" s="28">
        <v>50</v>
      </c>
      <c r="G4" s="28"/>
      <c r="H4" s="19">
        <v>46</v>
      </c>
      <c r="I4" s="19">
        <f>F4-H4</f>
        <v>4</v>
      </c>
      <c r="J4" s="25">
        <f>H4/F4</f>
        <v>0.92</v>
      </c>
    </row>
    <row r="5" spans="1:10">
      <c r="A5" s="15" t="s">
        <v>45</v>
      </c>
      <c r="B5" s="15" t="s">
        <v>85</v>
      </c>
      <c r="C5" s="16">
        <v>46090</v>
      </c>
      <c r="D5" s="15" t="s">
        <v>127</v>
      </c>
      <c r="E5" s="27">
        <v>40</v>
      </c>
      <c r="F5" s="28">
        <v>50</v>
      </c>
      <c r="G5" s="28"/>
      <c r="H5" s="19">
        <v>42</v>
      </c>
      <c r="I5" s="19">
        <f>F5-H5</f>
        <v>8</v>
      </c>
      <c r="J5" s="25">
        <f>H5/F5</f>
        <v>0.84</v>
      </c>
    </row>
    <row r="6" spans="1:10">
      <c r="A6" s="15" t="s">
        <v>47</v>
      </c>
      <c r="B6" s="15" t="s">
        <v>95</v>
      </c>
      <c r="C6" s="16">
        <v>46119</v>
      </c>
      <c r="D6" s="15" t="s">
        <v>129</v>
      </c>
      <c r="E6" s="27">
        <v>35</v>
      </c>
      <c r="F6" s="28">
        <v>45</v>
      </c>
      <c r="G6" s="28"/>
      <c r="H6" s="19">
        <v>34</v>
      </c>
      <c r="I6" s="19">
        <f>F6-H6</f>
        <v>11</v>
      </c>
      <c r="J6" s="25">
        <f>H6/F6</f>
        <v>0.75555555555555554</v>
      </c>
    </row>
    <row r="7" spans="1:10">
      <c r="A7" s="15" t="s">
        <v>46</v>
      </c>
      <c r="B7" s="15" t="s">
        <v>85</v>
      </c>
      <c r="C7" s="16">
        <v>46111</v>
      </c>
      <c r="D7" s="15" t="s">
        <v>128</v>
      </c>
      <c r="E7" s="27">
        <v>35</v>
      </c>
      <c r="F7" s="28">
        <v>45</v>
      </c>
      <c r="G7" s="28"/>
      <c r="H7" s="19">
        <v>32</v>
      </c>
      <c r="I7" s="19">
        <f>F7-H7</f>
        <v>13</v>
      </c>
      <c r="J7" s="25">
        <f>H7/F7</f>
        <v>0.71111111111111114</v>
      </c>
    </row>
    <row r="8" spans="1:10">
      <c r="A8" s="63"/>
      <c r="B8" s="63"/>
      <c r="C8" s="63"/>
      <c r="D8" s="64"/>
      <c r="E8" s="29">
        <f>SUM(E3:E7)</f>
        <v>200</v>
      </c>
      <c r="F8" s="12">
        <f>SUM(F3:F7)</f>
        <v>250</v>
      </c>
      <c r="G8" s="30"/>
      <c r="H8" s="24">
        <f>SUM(H3:H7)</f>
        <v>214</v>
      </c>
      <c r="I8" s="24">
        <f>SUM(I3:I7)</f>
        <v>36</v>
      </c>
      <c r="J8" s="31">
        <f t="shared" ref="J8" si="0">H8/F8</f>
        <v>0.85599999999999998</v>
      </c>
    </row>
  </sheetData>
  <sortState xmlns:xlrd2="http://schemas.microsoft.com/office/spreadsheetml/2017/richdata2" ref="A3:J7">
    <sortCondition descending="1" ref="J3:J7"/>
  </sortState>
  <mergeCells count="2">
    <mergeCell ref="A1:J1"/>
    <mergeCell ref="A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D0A3-FD1B-4D8B-A61D-1C96E5A2B514}">
  <dimension ref="A1:J8"/>
  <sheetViews>
    <sheetView workbookViewId="0">
      <selection activeCell="A2" sqref="A1:A1048576"/>
    </sheetView>
  </sheetViews>
  <sheetFormatPr defaultRowHeight="15"/>
  <cols>
    <col min="1" max="1" width="18.7109375" customWidth="1"/>
    <col min="2" max="2" width="13.140625" customWidth="1"/>
    <col min="3" max="3" width="10.140625" customWidth="1"/>
    <col min="4" max="4" width="30" customWidth="1"/>
    <col min="5" max="5" width="15.42578125" customWidth="1"/>
    <col min="6" max="6" width="11.5703125" customWidth="1"/>
    <col min="7" max="7" width="15.28515625" customWidth="1"/>
    <col min="8" max="8" width="13.140625" customWidth="1"/>
    <col min="9" max="9" width="10.85546875" customWidth="1"/>
    <col min="10" max="10" width="13.140625" customWidth="1"/>
  </cols>
  <sheetData>
    <row r="1" spans="1:10">
      <c r="A1" s="62"/>
      <c r="B1" s="62"/>
      <c r="C1" s="62"/>
      <c r="D1" s="62"/>
      <c r="E1" s="62"/>
      <c r="F1" s="62"/>
      <c r="G1" s="62"/>
      <c r="H1" s="62"/>
      <c r="I1" s="62"/>
      <c r="J1" s="62"/>
    </row>
    <row r="2" spans="1:10">
      <c r="A2" s="13" t="s">
        <v>7</v>
      </c>
      <c r="B2" s="13" t="s">
        <v>82</v>
      </c>
      <c r="C2" s="13" t="s">
        <v>83</v>
      </c>
      <c r="D2" s="13" t="s">
        <v>84</v>
      </c>
      <c r="E2" s="14" t="s">
        <v>73</v>
      </c>
      <c r="F2" s="12" t="s">
        <v>74</v>
      </c>
      <c r="G2" s="12" t="s">
        <v>156</v>
      </c>
      <c r="H2" s="1" t="s">
        <v>80</v>
      </c>
      <c r="I2" s="12" t="s">
        <v>157</v>
      </c>
      <c r="J2" s="12" t="s">
        <v>158</v>
      </c>
    </row>
    <row r="3" spans="1:10">
      <c r="A3" s="15" t="s">
        <v>50</v>
      </c>
      <c r="B3" s="15" t="s">
        <v>85</v>
      </c>
      <c r="C3" s="16">
        <v>46065</v>
      </c>
      <c r="D3" s="15" t="s">
        <v>135</v>
      </c>
      <c r="E3" s="15">
        <v>25</v>
      </c>
      <c r="F3" s="23">
        <v>35</v>
      </c>
      <c r="G3" s="23"/>
      <c r="H3" s="19">
        <v>35</v>
      </c>
      <c r="I3" s="19">
        <f>F3-H3</f>
        <v>0</v>
      </c>
      <c r="J3" s="25">
        <f>H3/F3</f>
        <v>1</v>
      </c>
    </row>
    <row r="4" spans="1:10">
      <c r="A4" s="15" t="s">
        <v>49</v>
      </c>
      <c r="B4" s="15" t="s">
        <v>85</v>
      </c>
      <c r="C4" s="16">
        <v>46020</v>
      </c>
      <c r="D4" s="15" t="s">
        <v>136</v>
      </c>
      <c r="E4" s="15">
        <v>25</v>
      </c>
      <c r="F4" s="23">
        <v>35</v>
      </c>
      <c r="G4" s="23"/>
      <c r="H4" s="19">
        <v>34</v>
      </c>
      <c r="I4" s="19">
        <f>F4-H4</f>
        <v>1</v>
      </c>
      <c r="J4" s="25">
        <f>H4/F4</f>
        <v>0.97142857142857142</v>
      </c>
    </row>
    <row r="5" spans="1:10">
      <c r="A5" s="15" t="s">
        <v>52</v>
      </c>
      <c r="B5" s="15" t="s">
        <v>95</v>
      </c>
      <c r="C5" s="16">
        <v>46121</v>
      </c>
      <c r="D5" s="15" t="s">
        <v>134</v>
      </c>
      <c r="E5" s="15">
        <v>25</v>
      </c>
      <c r="F5" s="23">
        <v>35</v>
      </c>
      <c r="G5" s="23"/>
      <c r="H5" s="19">
        <v>31</v>
      </c>
      <c r="I5" s="19">
        <f>F5-H5</f>
        <v>4</v>
      </c>
      <c r="J5" s="25">
        <f>H5/F5</f>
        <v>0.88571428571428568</v>
      </c>
    </row>
    <row r="6" spans="1:10">
      <c r="A6" s="15" t="s">
        <v>48</v>
      </c>
      <c r="B6" s="15" t="s">
        <v>85</v>
      </c>
      <c r="C6" s="16">
        <v>46020</v>
      </c>
      <c r="D6" s="15" t="s">
        <v>133</v>
      </c>
      <c r="E6" s="15">
        <v>25</v>
      </c>
      <c r="F6" s="23">
        <v>35</v>
      </c>
      <c r="G6" s="23"/>
      <c r="H6" s="19">
        <v>27</v>
      </c>
      <c r="I6" s="19">
        <f>F6-H6</f>
        <v>8</v>
      </c>
      <c r="J6" s="25">
        <f>H6/F6</f>
        <v>0.77142857142857146</v>
      </c>
    </row>
    <row r="7" spans="1:10">
      <c r="A7" s="15" t="s">
        <v>51</v>
      </c>
      <c r="B7" s="15" t="s">
        <v>85</v>
      </c>
      <c r="C7" s="16">
        <v>46118</v>
      </c>
      <c r="D7" s="15" t="s">
        <v>132</v>
      </c>
      <c r="E7" s="15">
        <v>25</v>
      </c>
      <c r="F7" s="23">
        <v>35</v>
      </c>
      <c r="G7" s="23"/>
      <c r="H7" s="19">
        <v>25</v>
      </c>
      <c r="I7" s="19">
        <f>F7-H7</f>
        <v>10</v>
      </c>
      <c r="J7" s="25">
        <f>H7/F7</f>
        <v>0.7142857142857143</v>
      </c>
    </row>
    <row r="8" spans="1:10">
      <c r="A8" s="63"/>
      <c r="B8" s="63"/>
      <c r="C8" s="63"/>
      <c r="D8" s="64"/>
      <c r="E8" s="14">
        <f>SUM(E3:E7)</f>
        <v>125</v>
      </c>
      <c r="F8" s="12">
        <f>SUM(F3:F7)</f>
        <v>175</v>
      </c>
      <c r="G8" s="1"/>
      <c r="H8" s="24">
        <f>SUM(H3:H7)</f>
        <v>152</v>
      </c>
      <c r="I8" s="24">
        <f>SUM(I3:I7)</f>
        <v>23</v>
      </c>
      <c r="J8" s="31">
        <f t="shared" ref="J8" si="0">H8/F8</f>
        <v>0.86857142857142855</v>
      </c>
    </row>
  </sheetData>
  <sortState xmlns:xlrd2="http://schemas.microsoft.com/office/spreadsheetml/2017/richdata2" ref="A3:J7">
    <sortCondition descending="1" ref="J3:J7"/>
  </sortState>
  <mergeCells count="2">
    <mergeCell ref="A1:J1"/>
    <mergeCell ref="A8:D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D236-A6D3-4591-A5B6-DA246638DDD7}">
  <dimension ref="A1:J6"/>
  <sheetViews>
    <sheetView workbookViewId="0">
      <selection activeCell="A4" sqref="A4:J4"/>
    </sheetView>
  </sheetViews>
  <sheetFormatPr defaultRowHeight="15"/>
  <cols>
    <col min="1" max="1" width="19.5703125" customWidth="1"/>
    <col min="2" max="2" width="13.140625" customWidth="1"/>
    <col min="3" max="3" width="10.140625" customWidth="1"/>
    <col min="4" max="4" width="30.7109375" customWidth="1"/>
    <col min="5" max="5" width="15.7109375" customWidth="1"/>
    <col min="6" max="6" width="10.140625" customWidth="1"/>
    <col min="7" max="7" width="15.28515625" hidden="1" customWidth="1"/>
    <col min="8" max="8" width="13.7109375" customWidth="1"/>
    <col min="9" max="9" width="10.5703125" customWidth="1"/>
    <col min="10" max="10" width="11.28515625" customWidth="1"/>
  </cols>
  <sheetData>
    <row r="1" spans="1:10">
      <c r="A1" s="67"/>
      <c r="B1" s="67"/>
      <c r="C1" s="67"/>
      <c r="D1" s="67"/>
      <c r="E1" s="67"/>
      <c r="F1" s="67"/>
      <c r="G1" s="67"/>
      <c r="H1" s="67"/>
      <c r="I1" s="67"/>
      <c r="J1" s="68"/>
    </row>
    <row r="2" spans="1:10">
      <c r="A2" s="13" t="s">
        <v>7</v>
      </c>
      <c r="B2" s="13" t="s">
        <v>82</v>
      </c>
      <c r="C2" s="13" t="s">
        <v>83</v>
      </c>
      <c r="D2" s="13" t="s">
        <v>84</v>
      </c>
      <c r="E2" s="14" t="s">
        <v>73</v>
      </c>
      <c r="F2" s="12" t="s">
        <v>74</v>
      </c>
      <c r="G2" s="11" t="s">
        <v>156</v>
      </c>
      <c r="H2" s="1" t="s">
        <v>80</v>
      </c>
      <c r="I2" s="12" t="s">
        <v>157</v>
      </c>
      <c r="J2" s="12" t="s">
        <v>158</v>
      </c>
    </row>
    <row r="3" spans="1:10">
      <c r="A3" s="15" t="s">
        <v>53</v>
      </c>
      <c r="B3" s="15" t="s">
        <v>85</v>
      </c>
      <c r="C3" s="16">
        <v>46013</v>
      </c>
      <c r="D3" s="17" t="s">
        <v>125</v>
      </c>
      <c r="E3" s="15">
        <v>15</v>
      </c>
      <c r="F3" s="23">
        <v>25</v>
      </c>
      <c r="G3" s="23"/>
      <c r="H3" s="19">
        <v>15</v>
      </c>
      <c r="I3" s="19">
        <f>F3-H3</f>
        <v>10</v>
      </c>
      <c r="J3" s="25">
        <f>H3/F3</f>
        <v>0.6</v>
      </c>
    </row>
    <row r="4" spans="1:10">
      <c r="A4" s="33" t="s">
        <v>55</v>
      </c>
      <c r="B4" s="33" t="s">
        <v>85</v>
      </c>
      <c r="C4" s="34">
        <v>46118</v>
      </c>
      <c r="D4" s="35" t="s">
        <v>124</v>
      </c>
      <c r="E4" s="33">
        <v>15</v>
      </c>
      <c r="F4" s="38">
        <v>25</v>
      </c>
      <c r="G4" s="38"/>
      <c r="H4" s="36">
        <v>13</v>
      </c>
      <c r="I4" s="36">
        <f>F4-H4</f>
        <v>12</v>
      </c>
      <c r="J4" s="37">
        <f>H4/F4</f>
        <v>0.52</v>
      </c>
    </row>
    <row r="5" spans="1:10">
      <c r="A5" s="33" t="s">
        <v>54</v>
      </c>
      <c r="B5" s="33" t="s">
        <v>85</v>
      </c>
      <c r="C5" s="34">
        <v>46097</v>
      </c>
      <c r="D5" s="35" t="s">
        <v>126</v>
      </c>
      <c r="E5" s="33">
        <v>15</v>
      </c>
      <c r="F5" s="38">
        <v>25</v>
      </c>
      <c r="G5" s="38"/>
      <c r="H5" s="36">
        <v>13</v>
      </c>
      <c r="I5" s="36">
        <f>F5-H5</f>
        <v>12</v>
      </c>
      <c r="J5" s="37">
        <f>H5/F5</f>
        <v>0.52</v>
      </c>
    </row>
    <row r="6" spans="1:10">
      <c r="A6" s="63"/>
      <c r="B6" s="63"/>
      <c r="C6" s="63"/>
      <c r="D6" s="64"/>
      <c r="E6" s="14">
        <f>SUM(E3:E5)</f>
        <v>45</v>
      </c>
      <c r="F6" s="12">
        <f>SUM(F3:F5)</f>
        <v>75</v>
      </c>
      <c r="G6" s="26"/>
      <c r="H6" s="24">
        <f>SUM(H3:H5)</f>
        <v>41</v>
      </c>
      <c r="I6" s="24">
        <f>SUM(I3:I5)</f>
        <v>34</v>
      </c>
      <c r="J6" s="31">
        <f>H6/F6</f>
        <v>0.54666666666666663</v>
      </c>
    </row>
  </sheetData>
  <sortState xmlns:xlrd2="http://schemas.microsoft.com/office/spreadsheetml/2017/richdata2" ref="A3:J5">
    <sortCondition descending="1" ref="J3:J5"/>
  </sortState>
  <mergeCells count="2">
    <mergeCell ref="A1:J1"/>
    <mergeCell ref="A6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1EB5-2C1E-4262-90E9-793313C3C404}">
  <dimension ref="A1:J17"/>
  <sheetViews>
    <sheetView workbookViewId="0">
      <selection activeCell="B11" sqref="B11"/>
    </sheetView>
  </sheetViews>
  <sheetFormatPr defaultRowHeight="15"/>
  <cols>
    <col min="1" max="1" width="18.28515625" customWidth="1"/>
    <col min="2" max="2" width="13.140625" customWidth="1"/>
    <col min="3" max="3" width="10.140625" customWidth="1"/>
    <col min="4" max="4" width="30.140625" customWidth="1"/>
    <col min="5" max="5" width="15.7109375" customWidth="1"/>
    <col min="6" max="6" width="12.5703125" customWidth="1"/>
    <col min="7" max="7" width="15.28515625" hidden="1" customWidth="1"/>
    <col min="8" max="8" width="13.140625" customWidth="1"/>
    <col min="9" max="9" width="12" customWidth="1"/>
    <col min="10" max="10" width="15.140625" customWidth="1"/>
  </cols>
  <sheetData>
    <row r="1" spans="1:10">
      <c r="A1" s="62"/>
      <c r="B1" s="62"/>
      <c r="C1" s="62"/>
      <c r="D1" s="62"/>
      <c r="E1" s="62"/>
      <c r="F1" s="62"/>
      <c r="G1" s="62"/>
      <c r="H1" s="62"/>
      <c r="I1" s="62"/>
      <c r="J1" s="62"/>
    </row>
    <row r="2" spans="1:10">
      <c r="A2" s="13" t="s">
        <v>7</v>
      </c>
      <c r="B2" s="13" t="s">
        <v>82</v>
      </c>
      <c r="C2" s="13" t="s">
        <v>83</v>
      </c>
      <c r="D2" s="13" t="s">
        <v>84</v>
      </c>
      <c r="E2" s="14" t="s">
        <v>73</v>
      </c>
      <c r="F2" s="12" t="s">
        <v>74</v>
      </c>
      <c r="G2" s="11" t="s">
        <v>156</v>
      </c>
      <c r="H2" s="1" t="s">
        <v>80</v>
      </c>
      <c r="I2" s="12" t="s">
        <v>157</v>
      </c>
      <c r="J2" s="12" t="s">
        <v>158</v>
      </c>
    </row>
    <row r="3" spans="1:10">
      <c r="A3" s="15" t="s">
        <v>69</v>
      </c>
      <c r="B3" s="15" t="s">
        <v>85</v>
      </c>
      <c r="C3" s="16">
        <v>46175</v>
      </c>
      <c r="D3" s="21" t="s">
        <v>154</v>
      </c>
      <c r="E3" s="18">
        <v>30</v>
      </c>
      <c r="F3" s="23">
        <v>35</v>
      </c>
      <c r="G3" s="23"/>
      <c r="H3" s="19">
        <v>45</v>
      </c>
      <c r="I3" s="19">
        <f t="shared" ref="I3:I16" si="0">F3-H3</f>
        <v>-10</v>
      </c>
      <c r="J3" s="25">
        <f t="shared" ref="J3:J16" si="1">H3/F3</f>
        <v>1.2857142857142858</v>
      </c>
    </row>
    <row r="4" spans="1:10">
      <c r="A4" s="15" t="s">
        <v>65</v>
      </c>
      <c r="B4" s="15" t="s">
        <v>85</v>
      </c>
      <c r="C4" s="16">
        <v>46125</v>
      </c>
      <c r="D4" s="17" t="s">
        <v>122</v>
      </c>
      <c r="E4" s="18">
        <v>30</v>
      </c>
      <c r="F4" s="23">
        <v>35</v>
      </c>
      <c r="G4" s="23"/>
      <c r="H4" s="19">
        <v>42</v>
      </c>
      <c r="I4" s="19">
        <f t="shared" si="0"/>
        <v>-7</v>
      </c>
      <c r="J4" s="25">
        <f t="shared" si="1"/>
        <v>1.2</v>
      </c>
    </row>
    <row r="5" spans="1:10">
      <c r="A5" s="15" t="s">
        <v>59</v>
      </c>
      <c r="B5" s="15" t="s">
        <v>85</v>
      </c>
      <c r="C5" s="16">
        <v>46020</v>
      </c>
      <c r="D5" s="17" t="s">
        <v>121</v>
      </c>
      <c r="E5" s="18">
        <v>30</v>
      </c>
      <c r="F5" s="23">
        <v>35</v>
      </c>
      <c r="G5" s="23"/>
      <c r="H5" s="19">
        <v>41</v>
      </c>
      <c r="I5" s="19">
        <f t="shared" si="0"/>
        <v>-6</v>
      </c>
      <c r="J5" s="25">
        <f t="shared" si="1"/>
        <v>1.1714285714285715</v>
      </c>
    </row>
    <row r="6" spans="1:10">
      <c r="A6" s="15" t="s">
        <v>58</v>
      </c>
      <c r="B6" s="15" t="s">
        <v>85</v>
      </c>
      <c r="C6" s="16">
        <v>46013</v>
      </c>
      <c r="D6" s="17" t="s">
        <v>114</v>
      </c>
      <c r="E6" s="18">
        <v>30</v>
      </c>
      <c r="F6" s="23">
        <v>35</v>
      </c>
      <c r="G6" s="23"/>
      <c r="H6" s="19">
        <v>40</v>
      </c>
      <c r="I6" s="19">
        <f t="shared" si="0"/>
        <v>-5</v>
      </c>
      <c r="J6" s="25">
        <f t="shared" si="1"/>
        <v>1.1428571428571428</v>
      </c>
    </row>
    <row r="7" spans="1:10">
      <c r="A7" s="15" t="s">
        <v>68</v>
      </c>
      <c r="B7" s="15" t="s">
        <v>85</v>
      </c>
      <c r="C7" s="16">
        <v>46167</v>
      </c>
      <c r="D7" s="21" t="s">
        <v>153</v>
      </c>
      <c r="E7" s="18">
        <v>30</v>
      </c>
      <c r="F7" s="23">
        <v>35</v>
      </c>
      <c r="G7" s="23"/>
      <c r="H7" s="19">
        <v>40</v>
      </c>
      <c r="I7" s="19">
        <f t="shared" si="0"/>
        <v>-5</v>
      </c>
      <c r="J7" s="25">
        <f t="shared" si="1"/>
        <v>1.1428571428571428</v>
      </c>
    </row>
    <row r="8" spans="1:10">
      <c r="A8" s="15" t="s">
        <v>63</v>
      </c>
      <c r="B8" s="15" t="s">
        <v>95</v>
      </c>
      <c r="C8" s="16">
        <v>46111</v>
      </c>
      <c r="D8" s="17" t="s">
        <v>116</v>
      </c>
      <c r="E8" s="18">
        <v>30</v>
      </c>
      <c r="F8" s="23">
        <v>35</v>
      </c>
      <c r="G8" s="23"/>
      <c r="H8" s="19">
        <v>37</v>
      </c>
      <c r="I8" s="19">
        <f t="shared" si="0"/>
        <v>-2</v>
      </c>
      <c r="J8" s="25">
        <f t="shared" si="1"/>
        <v>1.0571428571428572</v>
      </c>
    </row>
    <row r="9" spans="1:10">
      <c r="A9" s="15" t="s">
        <v>66</v>
      </c>
      <c r="B9" s="15" t="s">
        <v>85</v>
      </c>
      <c r="C9" s="16">
        <v>46147</v>
      </c>
      <c r="D9" s="17" t="s">
        <v>115</v>
      </c>
      <c r="E9" s="18">
        <v>30</v>
      </c>
      <c r="F9" s="23">
        <v>35</v>
      </c>
      <c r="G9" s="23"/>
      <c r="H9" s="19">
        <v>36</v>
      </c>
      <c r="I9" s="19">
        <f t="shared" si="0"/>
        <v>-1</v>
      </c>
      <c r="J9" s="25">
        <f t="shared" si="1"/>
        <v>1.0285714285714285</v>
      </c>
    </row>
    <row r="10" spans="1:10">
      <c r="A10" s="15" t="s">
        <v>67</v>
      </c>
      <c r="B10" s="15" t="s">
        <v>85</v>
      </c>
      <c r="C10" s="16">
        <v>46162</v>
      </c>
      <c r="D10" s="21" t="s">
        <v>152</v>
      </c>
      <c r="E10" s="18">
        <v>30</v>
      </c>
      <c r="F10" s="23">
        <v>35</v>
      </c>
      <c r="G10" s="23"/>
      <c r="H10" s="19">
        <v>36</v>
      </c>
      <c r="I10" s="19">
        <f t="shared" si="0"/>
        <v>-1</v>
      </c>
      <c r="J10" s="25">
        <f t="shared" si="1"/>
        <v>1.0285714285714285</v>
      </c>
    </row>
    <row r="11" spans="1:10">
      <c r="A11" s="15" t="s">
        <v>61</v>
      </c>
      <c r="B11" s="15" t="s">
        <v>85</v>
      </c>
      <c r="C11" s="16">
        <v>46090</v>
      </c>
      <c r="D11" s="17" t="s">
        <v>113</v>
      </c>
      <c r="E11" s="18">
        <v>30</v>
      </c>
      <c r="F11" s="23">
        <v>35</v>
      </c>
      <c r="G11" s="23"/>
      <c r="H11" s="19">
        <v>36</v>
      </c>
      <c r="I11" s="19">
        <f t="shared" si="0"/>
        <v>-1</v>
      </c>
      <c r="J11" s="25">
        <f t="shared" si="1"/>
        <v>1.0285714285714285</v>
      </c>
    </row>
    <row r="12" spans="1:10">
      <c r="A12" s="15" t="s">
        <v>57</v>
      </c>
      <c r="B12" s="15" t="s">
        <v>85</v>
      </c>
      <c r="C12" s="16">
        <v>45705</v>
      </c>
      <c r="D12" s="17" t="s">
        <v>119</v>
      </c>
      <c r="E12" s="18">
        <v>30</v>
      </c>
      <c r="F12" s="23">
        <v>35</v>
      </c>
      <c r="G12" s="23"/>
      <c r="H12" s="19">
        <v>34</v>
      </c>
      <c r="I12" s="19">
        <f t="shared" si="0"/>
        <v>1</v>
      </c>
      <c r="J12" s="25">
        <f t="shared" si="1"/>
        <v>0.97142857142857142</v>
      </c>
    </row>
    <row r="13" spans="1:10">
      <c r="A13" s="15" t="s">
        <v>60</v>
      </c>
      <c r="B13" s="15" t="s">
        <v>85</v>
      </c>
      <c r="C13" s="16">
        <v>46090</v>
      </c>
      <c r="D13" s="17" t="s">
        <v>120</v>
      </c>
      <c r="E13" s="18">
        <v>30</v>
      </c>
      <c r="F13" s="23">
        <v>35</v>
      </c>
      <c r="G13" s="23"/>
      <c r="H13" s="19">
        <v>31</v>
      </c>
      <c r="I13" s="19">
        <f t="shared" si="0"/>
        <v>4</v>
      </c>
      <c r="J13" s="25">
        <f t="shared" si="1"/>
        <v>0.88571428571428568</v>
      </c>
    </row>
    <row r="14" spans="1:10">
      <c r="A14" s="15" t="s">
        <v>64</v>
      </c>
      <c r="B14" s="15" t="s">
        <v>95</v>
      </c>
      <c r="C14" s="16">
        <v>46112</v>
      </c>
      <c r="D14" s="17" t="s">
        <v>117</v>
      </c>
      <c r="E14" s="18">
        <v>30</v>
      </c>
      <c r="F14" s="23">
        <v>35</v>
      </c>
      <c r="G14" s="23"/>
      <c r="H14" s="19">
        <v>26</v>
      </c>
      <c r="I14" s="19">
        <f t="shared" si="0"/>
        <v>9</v>
      </c>
      <c r="J14" s="25">
        <f t="shared" si="1"/>
        <v>0.74285714285714288</v>
      </c>
    </row>
    <row r="15" spans="1:10">
      <c r="A15" s="49" t="s">
        <v>62</v>
      </c>
      <c r="B15" s="49" t="s">
        <v>85</v>
      </c>
      <c r="C15" s="50">
        <v>46099</v>
      </c>
      <c r="D15" s="51" t="s">
        <v>118</v>
      </c>
      <c r="E15" s="49">
        <v>30</v>
      </c>
      <c r="F15" s="59">
        <v>35</v>
      </c>
      <c r="G15" s="59"/>
      <c r="H15" s="24">
        <v>26</v>
      </c>
      <c r="I15" s="24">
        <f t="shared" si="0"/>
        <v>9</v>
      </c>
      <c r="J15" s="31">
        <f t="shared" si="1"/>
        <v>0.74285714285714288</v>
      </c>
    </row>
    <row r="16" spans="1:10">
      <c r="A16" s="49" t="s">
        <v>78</v>
      </c>
      <c r="B16" s="49" t="s">
        <v>85</v>
      </c>
      <c r="C16" s="50">
        <v>46147</v>
      </c>
      <c r="D16" s="51" t="s">
        <v>123</v>
      </c>
      <c r="E16" s="49">
        <v>30</v>
      </c>
      <c r="F16" s="59">
        <v>35</v>
      </c>
      <c r="G16" s="59"/>
      <c r="H16" s="24">
        <v>21</v>
      </c>
      <c r="I16" s="24">
        <f t="shared" si="0"/>
        <v>14</v>
      </c>
      <c r="J16" s="31">
        <f t="shared" si="1"/>
        <v>0.6</v>
      </c>
    </row>
    <row r="17" spans="1:10">
      <c r="A17" s="63"/>
      <c r="B17" s="63"/>
      <c r="C17" s="63"/>
      <c r="D17" s="64"/>
      <c r="E17" s="14">
        <f>SUM(E3:E16)</f>
        <v>420</v>
      </c>
      <c r="F17" s="12">
        <f>SUM(F3:F16)</f>
        <v>490</v>
      </c>
      <c r="G17" s="26"/>
      <c r="H17" s="24">
        <f>SUM(H3:H16)</f>
        <v>491</v>
      </c>
      <c r="I17" s="24">
        <f>SUM(I3:I16)</f>
        <v>-1</v>
      </c>
      <c r="J17" s="31">
        <f t="shared" ref="J17" si="2">H17/F17</f>
        <v>1.0020408163265306</v>
      </c>
    </row>
  </sheetData>
  <sortState xmlns:xlrd2="http://schemas.microsoft.com/office/spreadsheetml/2017/richdata2" ref="A3:J16">
    <sortCondition descending="1" ref="J3:J16"/>
  </sortState>
  <mergeCells count="2">
    <mergeCell ref="A1:J1"/>
    <mergeCell ref="A17:D17"/>
  </mergeCells>
  <hyperlinks>
    <hyperlink ref="D10" r:id="rId1" xr:uid="{C3504E91-722F-4DA6-AF8E-A3AAF7C5551D}"/>
    <hyperlink ref="D7" r:id="rId2" xr:uid="{9D03E95F-C8D5-4919-B924-3B043D286ABA}"/>
    <hyperlink ref="D3" r:id="rId3" xr:uid="{F6311025-5ECC-4298-9ED2-DB147661B1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July Month Targets</vt:lpstr>
      <vt:lpstr>Engineering</vt:lpstr>
      <vt:lpstr>Management</vt:lpstr>
      <vt:lpstr>Law</vt:lpstr>
      <vt:lpstr>Media &amp; Liberal Arts</vt:lpstr>
      <vt:lpstr>Design</vt:lpstr>
      <vt:lpstr>Inbound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Kapoor</dc:creator>
  <cp:lastModifiedBy>Ishan Kapoor</cp:lastModifiedBy>
  <dcterms:created xsi:type="dcterms:W3CDTF">2026-06-29T14:35:25Z</dcterms:created>
  <dcterms:modified xsi:type="dcterms:W3CDTF">2026-08-13T04:00:54Z</dcterms:modified>
</cp:coreProperties>
</file>