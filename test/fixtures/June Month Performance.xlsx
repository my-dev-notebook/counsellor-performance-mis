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ishan_kapoor_shikshavijay_com/Documents/Desktop/Performance Report/"/>
    </mc:Choice>
  </mc:AlternateContent>
  <xr:revisionPtr revIDLastSave="193" documentId="8_{B49A5E38-07A9-4B04-9851-CC8792176B38}" xr6:coauthVersionLast="47" xr6:coauthVersionMax="47" xr10:uidLastSave="{7E04D38C-3C23-4686-80B0-CE7A28A07953}"/>
  <bookViews>
    <workbookView xWindow="-120" yWindow="-120" windowWidth="19440" windowHeight="10440" activeTab="6" xr2:uid="{EA0F37CB-FA35-4C48-897B-22FF1D12BBDC}"/>
  </bookViews>
  <sheets>
    <sheet name="Report" sheetId="7" r:id="rId1"/>
    <sheet name="Engineering" sheetId="2" r:id="rId2"/>
    <sheet name="Management " sheetId="3" r:id="rId3"/>
    <sheet name="Media" sheetId="5" r:id="rId4"/>
    <sheet name="Law" sheetId="4" r:id="rId5"/>
    <sheet name="Design" sheetId="1" r:id="rId6"/>
    <sheet name="Inbound" sheetId="6" r:id="rId7"/>
  </sheets>
  <definedNames>
    <definedName name="_xlnm._FilterDatabase" localSheetId="5" hidden="1">Design!$A$2:$J$7</definedName>
    <definedName name="_xlnm._FilterDatabase" localSheetId="1" hidden="1">Engineering!$A$2:$J$38</definedName>
    <definedName name="_xlnm._FilterDatabase" localSheetId="6" hidden="1">Inbound!$A$2:$J$26</definedName>
    <definedName name="_xlnm._FilterDatabase" localSheetId="4" hidden="1">Law!$A$2:$J$8</definedName>
    <definedName name="_xlnm._FilterDatabase" localSheetId="2" hidden="1">'Management '!$A$2:$J$13</definedName>
    <definedName name="_xlnm._FilterDatabase" localSheetId="3" hidden="1">Media!$A$2:$J$8</definedName>
    <definedName name="_xlnm._FilterDatabase" localSheetId="0" hidden="1">Report!$A$2:$E$9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26" i="6"/>
  <c r="G16" i="2"/>
  <c r="I16" i="2"/>
  <c r="J16" i="2"/>
  <c r="G17" i="2"/>
  <c r="I17" i="2"/>
  <c r="J17" i="2"/>
  <c r="F26" i="6"/>
  <c r="I23" i="6"/>
  <c r="J23" i="6"/>
  <c r="G19" i="6"/>
  <c r="I19" i="6"/>
  <c r="J19" i="6"/>
  <c r="I22" i="6"/>
  <c r="I13" i="6"/>
  <c r="I7" i="6"/>
  <c r="I9" i="6"/>
  <c r="I10" i="6"/>
  <c r="I3" i="6"/>
  <c r="I18" i="6"/>
  <c r="I11" i="6"/>
  <c r="I6" i="6"/>
  <c r="I12" i="6"/>
  <c r="I14" i="6"/>
  <c r="I8" i="6"/>
  <c r="I5" i="6"/>
  <c r="I16" i="6"/>
  <c r="I20" i="6"/>
  <c r="I15" i="6"/>
  <c r="I17" i="6"/>
  <c r="I21" i="6"/>
  <c r="I4" i="6"/>
  <c r="I6" i="1"/>
  <c r="I3" i="1"/>
  <c r="I5" i="1"/>
  <c r="I4" i="1"/>
  <c r="I5" i="5"/>
  <c r="I6" i="5"/>
  <c r="I4" i="5"/>
  <c r="I7" i="5"/>
  <c r="I3" i="5"/>
  <c r="I4" i="4"/>
  <c r="I6" i="4"/>
  <c r="I5" i="4"/>
  <c r="I7" i="4"/>
  <c r="I3" i="4"/>
  <c r="I4" i="3"/>
  <c r="I7" i="3"/>
  <c r="I3" i="3"/>
  <c r="I10" i="3"/>
  <c r="I9" i="3"/>
  <c r="I11" i="3"/>
  <c r="I12" i="3"/>
  <c r="I8" i="3"/>
  <c r="I6" i="3"/>
  <c r="I5" i="3"/>
  <c r="I6" i="2"/>
  <c r="I3" i="2"/>
  <c r="I7" i="2"/>
  <c r="I12" i="2"/>
  <c r="I8" i="2"/>
  <c r="I10" i="2"/>
  <c r="I13" i="2"/>
  <c r="I5" i="2"/>
  <c r="I26" i="2"/>
  <c r="I34" i="2"/>
  <c r="I9" i="2"/>
  <c r="I14" i="2"/>
  <c r="I11" i="2"/>
  <c r="I23" i="2"/>
  <c r="I19" i="2"/>
  <c r="I22" i="2"/>
  <c r="I27" i="2"/>
  <c r="I28" i="2"/>
  <c r="I24" i="2"/>
  <c r="I31" i="2"/>
  <c r="I29" i="2"/>
  <c r="I37" i="2"/>
  <c r="I35" i="2"/>
  <c r="I25" i="2"/>
  <c r="I36" i="2"/>
  <c r="I15" i="2"/>
  <c r="I20" i="2"/>
  <c r="I21" i="2"/>
  <c r="I30" i="2"/>
  <c r="I33" i="2"/>
  <c r="I32" i="2"/>
  <c r="I18" i="2"/>
  <c r="I4" i="2"/>
  <c r="G38" i="2" l="1"/>
  <c r="I26" i="6"/>
  <c r="J22" i="6"/>
  <c r="G12" i="6"/>
  <c r="G13" i="6"/>
  <c r="J13" i="6"/>
  <c r="J12" i="6"/>
  <c r="F38" i="2" l="1"/>
  <c r="F13" i="3"/>
  <c r="F8" i="4"/>
  <c r="F8" i="5"/>
  <c r="F7" i="1"/>
  <c r="J3" i="2"/>
  <c r="J8" i="2"/>
  <c r="J11" i="2"/>
  <c r="J26" i="2"/>
  <c r="J6" i="2"/>
  <c r="J27" i="2"/>
  <c r="J28" i="2"/>
  <c r="J7" i="2"/>
  <c r="J31" i="2"/>
  <c r="J12" i="2"/>
  <c r="J10" i="2"/>
  <c r="J34" i="2"/>
  <c r="J13" i="2"/>
  <c r="J9" i="2"/>
  <c r="J24" i="2"/>
  <c r="J30" i="2"/>
  <c r="J14" i="2"/>
  <c r="J23" i="2"/>
  <c r="J5" i="2"/>
  <c r="J19" i="2"/>
  <c r="J22" i="2"/>
  <c r="J29" i="2"/>
  <c r="J37" i="2"/>
  <c r="J35" i="2"/>
  <c r="J25" i="2"/>
  <c r="J36" i="2"/>
  <c r="J15" i="2"/>
  <c r="J33" i="2"/>
  <c r="J20" i="2"/>
  <c r="J32" i="2"/>
  <c r="J18" i="2"/>
  <c r="J21" i="2"/>
  <c r="J4" i="2"/>
  <c r="J4" i="3"/>
  <c r="J5" i="3"/>
  <c r="J7" i="3"/>
  <c r="J3" i="3"/>
  <c r="J11" i="3"/>
  <c r="J9" i="3"/>
  <c r="J12" i="3"/>
  <c r="J8" i="3"/>
  <c r="J6" i="3"/>
  <c r="J10" i="3"/>
  <c r="I13" i="3"/>
  <c r="J6" i="4"/>
  <c r="J4" i="4"/>
  <c r="J7" i="4"/>
  <c r="J5" i="4"/>
  <c r="J3" i="4"/>
  <c r="I8" i="4"/>
  <c r="H8" i="4"/>
  <c r="J3" i="5"/>
  <c r="J6" i="5"/>
  <c r="J4" i="5"/>
  <c r="J7" i="5"/>
  <c r="J5" i="5"/>
  <c r="I8" i="5"/>
  <c r="H8" i="5"/>
  <c r="J3" i="1"/>
  <c r="J6" i="1"/>
  <c r="J5" i="1"/>
  <c r="J4" i="1"/>
  <c r="I7" i="1"/>
  <c r="H7" i="1"/>
  <c r="J20" i="6"/>
  <c r="J9" i="6"/>
  <c r="J17" i="6"/>
  <c r="J14" i="6"/>
  <c r="J16" i="6"/>
  <c r="J15" i="6"/>
  <c r="J8" i="6"/>
  <c r="J10" i="6"/>
  <c r="J11" i="6"/>
  <c r="J7" i="6"/>
  <c r="J18" i="6"/>
  <c r="J21" i="6"/>
  <c r="J3" i="6"/>
  <c r="J5" i="6"/>
  <c r="J6" i="6"/>
  <c r="J4" i="6"/>
  <c r="G20" i="6"/>
  <c r="G9" i="6"/>
  <c r="G17" i="6"/>
  <c r="G14" i="6"/>
  <c r="G16" i="6"/>
  <c r="G15" i="6"/>
  <c r="G8" i="6"/>
  <c r="G10" i="6"/>
  <c r="G11" i="6"/>
  <c r="G7" i="6"/>
  <c r="G18" i="6"/>
  <c r="G21" i="6"/>
  <c r="G3" i="6"/>
  <c r="G5" i="6"/>
  <c r="G6" i="6"/>
  <c r="G4" i="6"/>
  <c r="G26" i="6" l="1"/>
  <c r="D8" i="7" s="1"/>
  <c r="C3" i="7"/>
  <c r="I38" i="2"/>
  <c r="C7" i="7"/>
  <c r="J8" i="5"/>
  <c r="G6" i="5"/>
  <c r="G3" i="1"/>
  <c r="G6" i="1"/>
  <c r="G5" i="1"/>
  <c r="G4" i="4"/>
  <c r="G7" i="4"/>
  <c r="G7" i="1" l="1"/>
  <c r="D7" i="7" s="1"/>
  <c r="G8" i="5"/>
  <c r="D6" i="7" s="1"/>
  <c r="G8" i="4"/>
  <c r="D5" i="7" s="1"/>
  <c r="C5" i="7"/>
  <c r="C6" i="7"/>
  <c r="J8" i="4"/>
  <c r="J26" i="6"/>
  <c r="C8" i="7"/>
  <c r="J7" i="1"/>
  <c r="H38" i="2"/>
  <c r="J38" i="2" s="1"/>
  <c r="D3" i="7"/>
  <c r="G4" i="3"/>
  <c r="G5" i="3"/>
  <c r="G12" i="3"/>
  <c r="G8" i="3"/>
  <c r="G6" i="3"/>
  <c r="G10" i="3"/>
  <c r="G13" i="3" l="1"/>
  <c r="D4" i="7" s="1"/>
  <c r="J13" i="3"/>
  <c r="C4" i="7"/>
  <c r="D9" i="7" l="1"/>
  <c r="C9" i="7"/>
</calcChain>
</file>

<file path=xl/sharedStrings.xml><?xml version="1.0" encoding="utf-8"?>
<sst xmlns="http://schemas.openxmlformats.org/spreadsheetml/2006/main" count="411" uniqueCount="187">
  <si>
    <t>Counsellor Name</t>
  </si>
  <si>
    <t>Vishwadeep Saxena</t>
  </si>
  <si>
    <t>Ritika Dakolia</t>
  </si>
  <si>
    <t>Swati Shandaliya</t>
  </si>
  <si>
    <t>Akshat Sharma</t>
  </si>
  <si>
    <t>Shalini Kumari</t>
  </si>
  <si>
    <t>Shweta Gupta</t>
  </si>
  <si>
    <t>Preeti Singh</t>
  </si>
  <si>
    <t>Hans Sharma</t>
  </si>
  <si>
    <t>Durgesh Tiwari</t>
  </si>
  <si>
    <t>Prachi Mehta</t>
  </si>
  <si>
    <t>Abhishek Kumar Singh</t>
  </si>
  <si>
    <t>Ritu Raj</t>
  </si>
  <si>
    <t>Shalini Panjiyar</t>
  </si>
  <si>
    <t>Tanushree Baisala</t>
  </si>
  <si>
    <t>Bhumika Kumari</t>
  </si>
  <si>
    <t>Shubham Kumar</t>
  </si>
  <si>
    <t>S.No</t>
  </si>
  <si>
    <t>Mihir Kumar</t>
  </si>
  <si>
    <t>Sumitra Bharti</t>
  </si>
  <si>
    <t>Debjani Saha</t>
  </si>
  <si>
    <t>Himanshu Shahi</t>
  </si>
  <si>
    <t>Ashutosh Pandey</t>
  </si>
  <si>
    <t>Taniya Adhikari</t>
  </si>
  <si>
    <t>Shraddha Sharma</t>
  </si>
  <si>
    <t xml:space="preserve">Abquari Akhtar </t>
  </si>
  <si>
    <t>Agrim Chaudhary</t>
  </si>
  <si>
    <t xml:space="preserve">Sarang Patel </t>
  </si>
  <si>
    <t>Safiya Farheen</t>
  </si>
  <si>
    <t>Adiba Farid</t>
  </si>
  <si>
    <t>Sanjay Rawat</t>
  </si>
  <si>
    <t>Harshit Kumar</t>
  </si>
  <si>
    <t>Vikas Pal</t>
  </si>
  <si>
    <t>Abhinav Kumar</t>
  </si>
  <si>
    <t>Arvind Kumar</t>
  </si>
  <si>
    <t>Md.Arshad Hussain</t>
  </si>
  <si>
    <t>Amrit Raj Verma</t>
  </si>
  <si>
    <t>Mushraff Ali</t>
  </si>
  <si>
    <t>Deepali Yadav</t>
  </si>
  <si>
    <t>Supriya Singh</t>
  </si>
  <si>
    <t>Pallavi Singh</t>
  </si>
  <si>
    <t>Roshan Kumar Singh</t>
  </si>
  <si>
    <t>Karnika Sharma</t>
  </si>
  <si>
    <t>Shivansh Tyagi</t>
  </si>
  <si>
    <t>Mishika Jindal</t>
  </si>
  <si>
    <t>Anshika Garg</t>
  </si>
  <si>
    <t>Sukriti Shukla</t>
  </si>
  <si>
    <t>Ankita Yadav</t>
  </si>
  <si>
    <t>Prajukta Kashyap</t>
  </si>
  <si>
    <t>Sonal Singh</t>
  </si>
  <si>
    <t>Sneha Kumari</t>
  </si>
  <si>
    <t>Rishabh Sharma</t>
  </si>
  <si>
    <t>Yogita Singh</t>
  </si>
  <si>
    <t>Bhavna Sahu</t>
  </si>
  <si>
    <t>Tanya Yadav</t>
  </si>
  <si>
    <t>Ishika Singh</t>
  </si>
  <si>
    <t>Pragati Kala</t>
  </si>
  <si>
    <t>Sakshi Singh</t>
  </si>
  <si>
    <t>Ashna Sidiqqui</t>
  </si>
  <si>
    <t>Abhinav Teotia</t>
  </si>
  <si>
    <t>Palki Mittal</t>
  </si>
  <si>
    <t>Sanjana Pal</t>
  </si>
  <si>
    <t>Surbhi Yadav</t>
  </si>
  <si>
    <t>Nikhil Pal</t>
  </si>
  <si>
    <t>Deepali Gupta</t>
  </si>
  <si>
    <t>Bhoomi Kanujiya</t>
  </si>
  <si>
    <t>Vansh Aggarwal</t>
  </si>
  <si>
    <t>Akanksha Sengar</t>
  </si>
  <si>
    <t>Sakaar Srivastava</t>
  </si>
  <si>
    <t>Yashika Gupta</t>
  </si>
  <si>
    <t>Ayushi Aggarwal</t>
  </si>
  <si>
    <t>Aashutosh Shah</t>
  </si>
  <si>
    <t>Target</t>
  </si>
  <si>
    <t>Pending</t>
  </si>
  <si>
    <t>Harsh Vardhan</t>
  </si>
  <si>
    <t>Sneha Gupta</t>
  </si>
  <si>
    <t>Achieved</t>
  </si>
  <si>
    <t>% Achieved</t>
  </si>
  <si>
    <t xml:space="preserve"> </t>
  </si>
  <si>
    <t>Nidhi Khandelwal</t>
  </si>
  <si>
    <t>Ankita Singh</t>
  </si>
  <si>
    <t>Grand Total</t>
  </si>
  <si>
    <t>%Achieved</t>
  </si>
  <si>
    <t>Sneha Garg</t>
  </si>
  <si>
    <t>Team Name</t>
  </si>
  <si>
    <t>Engineering</t>
  </si>
  <si>
    <t>Management</t>
  </si>
  <si>
    <t>Law</t>
  </si>
  <si>
    <t>Media/Liberal Arts</t>
  </si>
  <si>
    <t>Design</t>
  </si>
  <si>
    <t>Inbound</t>
  </si>
  <si>
    <t>June Month Team Wise Applications Bifurcation</t>
  </si>
  <si>
    <t>Email ID</t>
  </si>
  <si>
    <t>c-mishika.jinddal@bennett.edu.in</t>
  </si>
  <si>
    <t>c-ritika.dakolia@bennett.edu.in</t>
  </si>
  <si>
    <t>cc-vishwadeep.saxena@bennett.edu.in</t>
  </si>
  <si>
    <t>c-arshad.hussain@bennett.edu.in</t>
  </si>
  <si>
    <t>c-prachi.mehta@bennett.edu.in</t>
  </si>
  <si>
    <t>c-abhishek.singh@bennett.edu.in</t>
  </si>
  <si>
    <t>c-amrit.verma@bennett.edu.in</t>
  </si>
  <si>
    <t>c-akshat.sharma@bennett.edu.in</t>
  </si>
  <si>
    <t>c-shweta.gupta@bennett.edu.in</t>
  </si>
  <si>
    <t>c-durgesh.tiwari@bennett.edu.in</t>
  </si>
  <si>
    <t>c-swati.shandaliya@bennett.edu.in</t>
  </si>
  <si>
    <t>c-preeti.singh@bennett.edu.in</t>
  </si>
  <si>
    <t>c-hans.sharma@bennett.edu.in</t>
  </si>
  <si>
    <t>c-aashutosh.shah@bennett.edu.in</t>
  </si>
  <si>
    <t>c-vikas.pal@bennett.edu.in</t>
  </si>
  <si>
    <t>c-sanjana.pal@bennett.edu.in</t>
  </si>
  <si>
    <t>c-harshit.kumar@bennett.edu.in</t>
  </si>
  <si>
    <t>c-roshan.singh@bennett.edu.in</t>
  </si>
  <si>
    <t>c-sanjay.rawat@bennett.edu.in</t>
  </si>
  <si>
    <t>c-deepali.yadav@bennett.edu.in</t>
  </si>
  <si>
    <t>c-surbhi.yadav@bennett.edu.in</t>
  </si>
  <si>
    <t>c-supriya.singh@bennett.edu.in</t>
  </si>
  <si>
    <t>c-mushraff.ali@bennett.edu.in</t>
  </si>
  <si>
    <t>c-abhinav.teotia@bennett.edu.in</t>
  </si>
  <si>
    <t>c-pallavi.singh@bennett.edu.in</t>
  </si>
  <si>
    <t>c-ritu.raj@bennett.edu.in</t>
  </si>
  <si>
    <t>c-rishabh.sharma@bennett.edu.in</t>
  </si>
  <si>
    <t>c-sneha.kumarri@bennett.edu.in</t>
  </si>
  <si>
    <t>c-bhavna.sahu@bennett.edu.in</t>
  </si>
  <si>
    <t>c-sakshi.singh@bennett.edu.in</t>
  </si>
  <si>
    <t>c-pragati.kala@bennett.edu.in</t>
  </si>
  <si>
    <t>c-yogita.singh@bennett.edu.in</t>
  </si>
  <si>
    <t>c-sonal.singh@bennett.edu.in</t>
  </si>
  <si>
    <t>c-tanushree.bansal@bennett.edu.in</t>
  </si>
  <si>
    <t>c-shalini.paniyar@bennett.edu.in</t>
  </si>
  <si>
    <t xml:space="preserve">
c-abhinav.kumar@bennett.edu.in
</t>
  </si>
  <si>
    <t>c-arvind.kumar@bennett.edu.in</t>
  </si>
  <si>
    <t>c-shivansh.tyagi@bennett.edu.in</t>
  </si>
  <si>
    <t>c-shubham.kumar@bennett.edu.in</t>
  </si>
  <si>
    <t xml:space="preserve"> c-tanya.yadav@bennett.edu.in</t>
  </si>
  <si>
    <t>c-bhumika.kumari@bennett.edu.in</t>
  </si>
  <si>
    <t xml:space="preserve"> c-ashna.sidiqqui@bennett.edu.in</t>
  </si>
  <si>
    <t>c-nikhil.pal@bennett.edu.in</t>
  </si>
  <si>
    <t>c-sumitra.bharti@bennett.edu.in</t>
  </si>
  <si>
    <t>c-mihir.kumar@bennett.edu.in</t>
  </si>
  <si>
    <t>c-debanjani.saha@bennett.edu.in</t>
  </si>
  <si>
    <t>c-himanshu.shahi@bennett.edu.in</t>
  </si>
  <si>
    <t>c-karnika.sharma@bennett.edu.in</t>
  </si>
  <si>
    <t>c-ashutosh.pandey@bennett.edu.in</t>
  </si>
  <si>
    <t>c-shraddha.sharma@bennett.edu.in</t>
  </si>
  <si>
    <t>c-tanya.adhikari@bennett.edu.in</t>
  </si>
  <si>
    <t>c-prajukta.kashyap@bennett.edu.in</t>
  </si>
  <si>
    <t>c-ishika.singh@bennett.edu.in</t>
  </si>
  <si>
    <t>c-palki.mittal@bennett.edu.in</t>
  </si>
  <si>
    <t>c-abquar.akhtar@bennett.edu.in</t>
  </si>
  <si>
    <t xml:space="preserve">
c-nidhi.khandelwal@bennett.edu.in</t>
  </si>
  <si>
    <t>c-ankita.singh1@bennett.edu.in</t>
  </si>
  <si>
    <t>Deepanshi Sharma</t>
  </si>
  <si>
    <t>Nayanika Singh</t>
  </si>
  <si>
    <t>c-deepanshi.sharma@bennett.edu.in</t>
  </si>
  <si>
    <t>c-nayanika.singh@bennett.edu.in</t>
  </si>
  <si>
    <t>c-deepali.gupta@bennett.edu.in</t>
  </si>
  <si>
    <t>c-agrim.chaudhary@bennett.edu.in</t>
  </si>
  <si>
    <t>c-shalini.kumari@bennett.edu.in</t>
  </si>
  <si>
    <t>c-sarang.patel@bennett.edu.in</t>
  </si>
  <si>
    <t>c-safiya.farheen@bennett.edu.in</t>
  </si>
  <si>
    <t>c-abida.farid@bennett.edu.in</t>
  </si>
  <si>
    <t>c-bhoomi.kanujiya@bennett.edu.in</t>
  </si>
  <si>
    <t>c-ankita.yadav@bennett.edu.in</t>
  </si>
  <si>
    <t>c-anshika.garg@bennett.edu.in</t>
  </si>
  <si>
    <t>c-sukriti.shukla@bennett.edu.in</t>
  </si>
  <si>
    <t>c-vansh.aggarwal@bennett.edu.in</t>
  </si>
  <si>
    <t>c-akanksha.sengar@bennett.edu.in</t>
  </si>
  <si>
    <t>c-sakaar.srivastava@bennett.edu.in</t>
  </si>
  <si>
    <t>c-yashika.gupta@bennett.edu.in</t>
  </si>
  <si>
    <t>c-ayushi.aggarwal@bennett.edu.in</t>
  </si>
  <si>
    <t>Alok Raj</t>
  </si>
  <si>
    <t>c-alok.raj@bennett.edu.in</t>
  </si>
  <si>
    <t>DOJ</t>
  </si>
  <si>
    <t>Agency Name</t>
  </si>
  <si>
    <t>SKS Enterprises</t>
  </si>
  <si>
    <t>AM2PM</t>
  </si>
  <si>
    <t>Riya Singh</t>
  </si>
  <si>
    <t>c-riya.singh@bennett.edu.in</t>
  </si>
  <si>
    <t>Bhumika Kohli</t>
  </si>
  <si>
    <t>c-bhumika.kohli@bennett.edu.in</t>
  </si>
  <si>
    <t>Mayank</t>
  </si>
  <si>
    <t>c-mayank@bennett.edu.in</t>
  </si>
  <si>
    <t>c-sneha.garg@bennett.edu.in</t>
  </si>
  <si>
    <t>Yash Chaudhary</t>
  </si>
  <si>
    <t>Acknowledgment</t>
  </si>
  <si>
    <t xml:space="preserve">Acknowledgment </t>
  </si>
  <si>
    <t>Yes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</si>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</sst>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"/>
      <name val="Calibri"/>
      <family val="2"/>
    </font>
    <font>
      <u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9" fontId="2" fillId="3" borderId="1" xfId="2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9" fontId="0" fillId="0" borderId="0" xfId="2" applyFont="1"/>
    <xf numFmtId="0" fontId="2" fillId="3" borderId="2" xfId="0" applyFont="1" applyFill="1" applyBorder="1" applyAlignment="1">
      <alignment horizontal="center"/>
    </xf>
    <xf numFmtId="9" fontId="2" fillId="5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1" applyFont="1" applyFill="1" applyBorder="1" applyAlignment="1">
      <alignment horizontal="center" vertical="top"/>
    </xf>
    <xf numFmtId="9" fontId="2" fillId="5" borderId="2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top"/>
    </xf>
    <xf numFmtId="9" fontId="2" fillId="4" borderId="1" xfId="2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" fontId="2" fillId="3" borderId="1" xfId="0" applyNumberFormat="1" applyFont="1" applyFill="1" applyBorder="1" applyAlignment="1">
      <alignment horizontal="center" vertical="top"/>
    </xf>
    <xf numFmtId="9" fontId="2" fillId="3" borderId="1" xfId="2" applyFont="1" applyFill="1" applyBorder="1" applyAlignment="1">
      <alignment horizontal="center" vertical="top"/>
    </xf>
    <xf numFmtId="0" fontId="2" fillId="3" borderId="1" xfId="1" applyFont="1" applyFill="1" applyBorder="1" applyAlignment="1">
      <alignment horizontal="center" vertical="top"/>
    </xf>
    <xf numFmtId="9" fontId="2" fillId="5" borderId="1" xfId="0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1" fontId="5" fillId="4" borderId="1" xfId="0" applyNumberFormat="1" applyFont="1" applyFill="1" applyBorder="1" applyAlignment="1">
      <alignment horizontal="center" vertical="top"/>
    </xf>
    <xf numFmtId="9" fontId="5" fillId="4" borderId="1" xfId="2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9" fontId="4" fillId="5" borderId="1" xfId="0" applyNumberFormat="1" applyFont="1" applyFill="1" applyBorder="1" applyAlignment="1">
      <alignment horizontal="center" vertical="top"/>
    </xf>
    <xf numFmtId="9" fontId="3" fillId="0" borderId="1" xfId="2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9" fontId="3" fillId="3" borderId="1" xfId="2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9" fontId="2" fillId="0" borderId="1" xfId="2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9" fontId="4" fillId="0" borderId="1" xfId="2" applyFont="1" applyFill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9" fontId="5" fillId="0" borderId="1" xfId="2" applyFont="1" applyFill="1" applyBorder="1" applyAlignment="1">
      <alignment horizontal="center" vertical="top"/>
    </xf>
    <xf numFmtId="9" fontId="2" fillId="0" borderId="1" xfId="2" applyFont="1" applyFill="1" applyBorder="1" applyAlignment="1">
      <alignment horizontal="center"/>
    </xf>
    <xf numFmtId="9" fontId="3" fillId="0" borderId="1" xfId="2" applyFont="1" applyFill="1" applyBorder="1" applyAlignment="1">
      <alignment horizontal="center" vertical="top"/>
    </xf>
    <xf numFmtId="9" fontId="2" fillId="5" borderId="1" xfId="2" applyFont="1" applyFill="1" applyBorder="1" applyAlignment="1">
      <alignment horizontal="center" vertical="top"/>
    </xf>
    <xf numFmtId="9" fontId="3" fillId="5" borderId="1" xfId="2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1" xfId="3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3" borderId="8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</cellXfs>
  <cellStyles count="4">
    <cellStyle name="Hyperlink" xfId="3" builtinId="8"/>
    <cellStyle name="Normal" xfId="0" builtinId="0"/>
    <cellStyle name="Normal 4" xfId="1" xr:uid="{DE591957-9033-4A30-8AF5-701766C33BEE}"/>
    <cellStyle name="Percent" xfId="2" builtinId="5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-sneha.garg@bennett.edu.i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-mayank@bennett.edu.in" TargetMode="External"/><Relationship Id="rId2" Type="http://schemas.openxmlformats.org/officeDocument/2006/relationships/hyperlink" Target="mailto:c-bhumika.kohli@bennett.edu.in" TargetMode="External"/><Relationship Id="rId1" Type="http://schemas.openxmlformats.org/officeDocument/2006/relationships/hyperlink" Target="mailto:c-riya.singh@bennett.edu.in" TargetMode="External"/><Relationship Id="rId4" Type="http://schemas.openxmlformats.org/officeDocument/2006/relationships/hyperlink" Target="mailto:c-sonal.singh@bennet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88C8-962F-4724-8F1E-443579E9CA14}">
  <dimension ref="A1:H14"/>
  <sheetViews>
    <sheetView workbookViewId="0">
      <selection activeCell="D5" sqref="D5"/>
    </sheetView>
  </sheetViews>
  <sheetFormatPr defaultRowHeight="15" x14ac:dyDescent="0.25"/>
  <cols>
    <col min="1" max="1" width="9.140625" bestFit="1" customWidth="1"/>
    <col min="2" max="2" width="15.85546875" bestFit="1" customWidth="1"/>
    <col min="3" max="3" width="10.5703125" bestFit="1" customWidth="1"/>
    <col min="4" max="4" width="12.5703125" customWidth="1"/>
    <col min="5" max="5" width="12.7109375" bestFit="1" customWidth="1"/>
  </cols>
  <sheetData>
    <row r="1" spans="1:8" ht="15.75" thickBot="1" x14ac:dyDescent="0.3">
      <c r="A1" s="56" t="s">
        <v>91</v>
      </c>
      <c r="B1" s="57"/>
      <c r="C1" s="57"/>
      <c r="D1" s="57"/>
      <c r="E1" s="58"/>
    </row>
    <row r="2" spans="1:8" x14ac:dyDescent="0.25">
      <c r="A2" s="10" t="s">
        <v>17</v>
      </c>
      <c r="B2" s="10" t="s">
        <v>84</v>
      </c>
      <c r="C2" s="10" t="s">
        <v>72</v>
      </c>
      <c r="D2" s="11">
        <v>0.9</v>
      </c>
      <c r="E2" s="10" t="s">
        <v>76</v>
      </c>
    </row>
    <row r="3" spans="1:8" x14ac:dyDescent="0.25">
      <c r="A3" s="6">
        <v>1</v>
      </c>
      <c r="B3" s="6" t="s">
        <v>85</v>
      </c>
      <c r="C3" s="7">
        <f>Engineering!F38</f>
        <v>3130</v>
      </c>
      <c r="D3" s="7">
        <f>Engineering!G38</f>
        <v>2837.9</v>
      </c>
      <c r="E3" s="6"/>
    </row>
    <row r="4" spans="1:8" x14ac:dyDescent="0.25">
      <c r="A4" s="6">
        <v>2</v>
      </c>
      <c r="B4" s="6" t="s">
        <v>86</v>
      </c>
      <c r="C4" s="6">
        <f>'Management '!F13</f>
        <v>705</v>
      </c>
      <c r="D4" s="7">
        <f>'Management '!G13</f>
        <v>637.5</v>
      </c>
      <c r="E4" s="6"/>
    </row>
    <row r="5" spans="1:8" x14ac:dyDescent="0.25">
      <c r="A5" s="6">
        <v>3</v>
      </c>
      <c r="B5" s="6" t="s">
        <v>87</v>
      </c>
      <c r="C5" s="6">
        <f>Law!F8</f>
        <v>290</v>
      </c>
      <c r="D5" s="7">
        <f>Law!G8</f>
        <v>265.5</v>
      </c>
      <c r="E5" s="6"/>
    </row>
    <row r="6" spans="1:8" x14ac:dyDescent="0.25">
      <c r="A6" s="6">
        <v>4</v>
      </c>
      <c r="B6" s="6" t="s">
        <v>88</v>
      </c>
      <c r="C6" s="6">
        <f>Law!F8</f>
        <v>290</v>
      </c>
      <c r="D6" s="7">
        <f>Media!G8</f>
        <v>182</v>
      </c>
      <c r="E6" s="6"/>
    </row>
    <row r="7" spans="1:8" x14ac:dyDescent="0.25">
      <c r="A7" s="6">
        <v>5</v>
      </c>
      <c r="B7" s="6" t="s">
        <v>89</v>
      </c>
      <c r="C7" s="6">
        <f>Design!F7</f>
        <v>85</v>
      </c>
      <c r="D7" s="7">
        <f>Design!G7</f>
        <v>74</v>
      </c>
      <c r="E7" s="6"/>
    </row>
    <row r="8" spans="1:8" x14ac:dyDescent="0.25">
      <c r="A8" s="6">
        <v>6</v>
      </c>
      <c r="B8" s="6" t="s">
        <v>90</v>
      </c>
      <c r="C8" s="6">
        <f>Inbound!F26</f>
        <v>815</v>
      </c>
      <c r="D8" s="7">
        <f>Inbound!G26</f>
        <v>655</v>
      </c>
      <c r="E8" s="6"/>
    </row>
    <row r="9" spans="1:8" x14ac:dyDescent="0.25">
      <c r="A9" s="55" t="s">
        <v>81</v>
      </c>
      <c r="B9" s="55"/>
      <c r="C9" s="8">
        <f>SUM(C3:C8)</f>
        <v>5315</v>
      </c>
      <c r="D9" s="8">
        <f>SUM(D2:D8)</f>
        <v>4652.8</v>
      </c>
      <c r="E9" s="5"/>
    </row>
    <row r="11" spans="1:8" x14ac:dyDescent="0.25">
      <c r="D11" s="9" t="s">
        <v>78</v>
      </c>
    </row>
    <row r="12" spans="1:8" x14ac:dyDescent="0.25">
      <c r="E12" t="s">
        <v>78</v>
      </c>
    </row>
    <row r="13" spans="1:8" x14ac:dyDescent="0.25">
      <c r="H13" t="s">
        <v>78</v>
      </c>
    </row>
    <row r="14" spans="1:8" x14ac:dyDescent="0.25">
      <c r="C14" t="s">
        <v>78</v>
      </c>
    </row>
  </sheetData>
  <autoFilter ref="A2:E9" xr:uid="{CE4688C8-962F-4724-8F1E-443579E9CA14}"/>
  <mergeCells count="2">
    <mergeCell ref="A9:B9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D55E-32B1-4C3A-850F-B2893CE17A7C}">
  <dimension ref="A1:L38"/>
  <sheetViews>
    <sheetView topLeftCell="A22" workbookViewId="0">
      <selection activeCell="B27" sqref="B27"/>
    </sheetView>
  </sheetViews>
  <sheetFormatPr defaultRowHeight="15" x14ac:dyDescent="0.25"/>
  <cols>
    <col min="1" max="1" width="18.7109375" bestFit="1" customWidth="1"/>
    <col min="2" max="2" width="16.28515625" customWidth="1"/>
    <col min="3" max="3" width="10.140625" customWidth="1"/>
    <col min="4" max="4" width="32.140625" customWidth="1"/>
    <col min="5" max="5" width="19.42578125" customWidth="1"/>
    <col min="6" max="6" width="11.5703125" customWidth="1"/>
    <col min="7" max="7" width="10.85546875" customWidth="1"/>
    <col min="8" max="8" width="14.140625" customWidth="1"/>
    <col min="9" max="9" width="12.28515625" customWidth="1"/>
    <col min="10" max="10" width="15.7109375" customWidth="1"/>
  </cols>
  <sheetData>
    <row r="1" spans="1:10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</row>
    <row r="2" spans="1:10" x14ac:dyDescent="0.25">
      <c r="A2" s="24" t="s">
        <v>0</v>
      </c>
      <c r="B2" s="24" t="s">
        <v>172</v>
      </c>
      <c r="C2" s="24" t="s">
        <v>171</v>
      </c>
      <c r="D2" s="24" t="s">
        <v>92</v>
      </c>
      <c r="E2" s="24" t="s">
        <v>183</v>
      </c>
      <c r="F2" s="12" t="s">
        <v>72</v>
      </c>
      <c r="G2" s="25">
        <v>0.9</v>
      </c>
      <c r="H2" s="12" t="s">
        <v>76</v>
      </c>
      <c r="I2" s="12" t="s">
        <v>73</v>
      </c>
      <c r="J2" s="12" t="s">
        <v>82</v>
      </c>
    </row>
    <row r="3" spans="1:10" x14ac:dyDescent="0.25">
      <c r="A3" s="17" t="s">
        <v>44</v>
      </c>
      <c r="B3" s="17" t="s">
        <v>173</v>
      </c>
      <c r="C3" s="18">
        <v>46034</v>
      </c>
      <c r="D3" s="49" t="s">
        <v>93</v>
      </c>
      <c r="E3" s="17" t="s">
        <v>185</v>
      </c>
      <c r="F3" s="19">
        <v>120</v>
      </c>
      <c r="G3" s="19">
        <v>108</v>
      </c>
      <c r="H3" s="19">
        <v>146</v>
      </c>
      <c r="I3" s="19">
        <f t="shared" ref="I3:I37" si="0">F3-H3</f>
        <v>-26</v>
      </c>
      <c r="J3" s="20">
        <f t="shared" ref="J3:J37" si="1">H3/F3</f>
        <v>1.2166666666666666</v>
      </c>
    </row>
    <row r="4" spans="1:10" x14ac:dyDescent="0.25">
      <c r="A4" s="17" t="s">
        <v>2</v>
      </c>
      <c r="B4" s="17" t="s">
        <v>173</v>
      </c>
      <c r="C4" s="18">
        <v>45985</v>
      </c>
      <c r="D4" s="49" t="s">
        <v>94</v>
      </c>
      <c r="E4" s="17" t="s">
        <v>185</v>
      </c>
      <c r="F4" s="19">
        <v>120</v>
      </c>
      <c r="G4" s="19">
        <v>108</v>
      </c>
      <c r="H4" s="19">
        <v>140</v>
      </c>
      <c r="I4" s="19">
        <f t="shared" si="0"/>
        <v>-20</v>
      </c>
      <c r="J4" s="20">
        <f t="shared" si="1"/>
        <v>1.1666666666666667</v>
      </c>
    </row>
    <row r="5" spans="1:10" x14ac:dyDescent="0.25">
      <c r="A5" s="17" t="s">
        <v>38</v>
      </c>
      <c r="B5" s="17" t="s">
        <v>173</v>
      </c>
      <c r="C5" s="18">
        <v>46125</v>
      </c>
      <c r="D5" s="49" t="s">
        <v>112</v>
      </c>
      <c r="E5" s="17" t="s">
        <v>185</v>
      </c>
      <c r="F5" s="17">
        <v>80</v>
      </c>
      <c r="G5" s="19">
        <v>70</v>
      </c>
      <c r="H5" s="17">
        <v>93</v>
      </c>
      <c r="I5" s="19">
        <f t="shared" si="0"/>
        <v>-13</v>
      </c>
      <c r="J5" s="20">
        <f t="shared" si="1"/>
        <v>1.1625000000000001</v>
      </c>
    </row>
    <row r="6" spans="1:10" x14ac:dyDescent="0.25">
      <c r="A6" s="17" t="s">
        <v>11</v>
      </c>
      <c r="B6" s="17" t="s">
        <v>173</v>
      </c>
      <c r="C6" s="18">
        <v>46106</v>
      </c>
      <c r="D6" s="49" t="s">
        <v>98</v>
      </c>
      <c r="E6" s="17" t="s">
        <v>185</v>
      </c>
      <c r="F6" s="19">
        <v>120</v>
      </c>
      <c r="G6" s="19">
        <v>108</v>
      </c>
      <c r="H6" s="19">
        <v>138</v>
      </c>
      <c r="I6" s="19">
        <f t="shared" si="0"/>
        <v>-18</v>
      </c>
      <c r="J6" s="20">
        <f t="shared" si="1"/>
        <v>1.1499999999999999</v>
      </c>
    </row>
    <row r="7" spans="1:10" x14ac:dyDescent="0.25">
      <c r="A7" s="17" t="s">
        <v>6</v>
      </c>
      <c r="B7" s="17" t="s">
        <v>173</v>
      </c>
      <c r="C7" s="18">
        <v>46034</v>
      </c>
      <c r="D7" s="49" t="s">
        <v>101</v>
      </c>
      <c r="E7" s="17" t="s">
        <v>185</v>
      </c>
      <c r="F7" s="19">
        <v>120</v>
      </c>
      <c r="G7" s="19">
        <v>108</v>
      </c>
      <c r="H7" s="19">
        <v>118</v>
      </c>
      <c r="I7" s="19">
        <f t="shared" si="0"/>
        <v>2</v>
      </c>
      <c r="J7" s="20">
        <f t="shared" si="1"/>
        <v>0.98333333333333328</v>
      </c>
    </row>
    <row r="8" spans="1:10" x14ac:dyDescent="0.25">
      <c r="A8" s="39" t="s">
        <v>1</v>
      </c>
      <c r="B8" s="21" t="s">
        <v>173</v>
      </c>
      <c r="C8" s="36">
        <v>46113</v>
      </c>
      <c r="D8" s="50" t="s">
        <v>95</v>
      </c>
      <c r="E8" s="17" t="s">
        <v>185</v>
      </c>
      <c r="F8" s="37">
        <v>120</v>
      </c>
      <c r="G8" s="37">
        <v>108</v>
      </c>
      <c r="H8" s="37">
        <v>117</v>
      </c>
      <c r="I8" s="37">
        <f t="shared" si="0"/>
        <v>3</v>
      </c>
      <c r="J8" s="38">
        <f t="shared" si="1"/>
        <v>0.97499999999999998</v>
      </c>
    </row>
    <row r="9" spans="1:10" x14ac:dyDescent="0.25">
      <c r="A9" s="21" t="s">
        <v>32</v>
      </c>
      <c r="B9" s="21" t="s">
        <v>174</v>
      </c>
      <c r="C9" s="36">
        <v>46125</v>
      </c>
      <c r="D9" s="50" t="s">
        <v>107</v>
      </c>
      <c r="E9" s="17" t="s">
        <v>185</v>
      </c>
      <c r="F9" s="21">
        <v>80</v>
      </c>
      <c r="G9" s="37">
        <v>70</v>
      </c>
      <c r="H9" s="21">
        <v>76</v>
      </c>
      <c r="I9" s="37">
        <f t="shared" si="0"/>
        <v>4</v>
      </c>
      <c r="J9" s="38">
        <f t="shared" si="1"/>
        <v>0.95</v>
      </c>
    </row>
    <row r="10" spans="1:10" x14ac:dyDescent="0.25">
      <c r="A10" s="21" t="s">
        <v>7</v>
      </c>
      <c r="B10" s="21" t="s">
        <v>173</v>
      </c>
      <c r="C10" s="36">
        <v>46037</v>
      </c>
      <c r="D10" s="50" t="s">
        <v>104</v>
      </c>
      <c r="E10" s="17" t="s">
        <v>185</v>
      </c>
      <c r="F10" s="37">
        <v>120</v>
      </c>
      <c r="G10" s="37">
        <v>108</v>
      </c>
      <c r="H10" s="37">
        <v>110</v>
      </c>
      <c r="I10" s="37">
        <f t="shared" si="0"/>
        <v>10</v>
      </c>
      <c r="J10" s="38">
        <f t="shared" si="1"/>
        <v>0.91666666666666663</v>
      </c>
    </row>
    <row r="11" spans="1:10" x14ac:dyDescent="0.25">
      <c r="A11" s="40" t="s">
        <v>35</v>
      </c>
      <c r="B11" s="21" t="s">
        <v>173</v>
      </c>
      <c r="C11" s="36">
        <v>45352</v>
      </c>
      <c r="D11" s="50" t="s">
        <v>96</v>
      </c>
      <c r="E11" s="17" t="s">
        <v>185</v>
      </c>
      <c r="F11" s="37">
        <v>120</v>
      </c>
      <c r="G11" s="37">
        <v>108</v>
      </c>
      <c r="H11" s="37">
        <v>103</v>
      </c>
      <c r="I11" s="37">
        <f t="shared" si="0"/>
        <v>17</v>
      </c>
      <c r="J11" s="38">
        <f t="shared" si="1"/>
        <v>0.85833333333333328</v>
      </c>
    </row>
    <row r="12" spans="1:10" x14ac:dyDescent="0.25">
      <c r="A12" s="21" t="s">
        <v>3</v>
      </c>
      <c r="B12" s="21" t="s">
        <v>173</v>
      </c>
      <c r="C12" s="36">
        <v>46006</v>
      </c>
      <c r="D12" s="50" t="s">
        <v>103</v>
      </c>
      <c r="E12" s="17" t="s">
        <v>185</v>
      </c>
      <c r="F12" s="37">
        <v>120</v>
      </c>
      <c r="G12" s="37">
        <v>108</v>
      </c>
      <c r="H12" s="37">
        <v>102</v>
      </c>
      <c r="I12" s="37">
        <f t="shared" si="0"/>
        <v>18</v>
      </c>
      <c r="J12" s="38">
        <f t="shared" si="1"/>
        <v>0.85</v>
      </c>
    </row>
    <row r="13" spans="1:10" x14ac:dyDescent="0.25">
      <c r="A13" s="21" t="s">
        <v>71</v>
      </c>
      <c r="B13" s="21" t="s">
        <v>173</v>
      </c>
      <c r="C13" s="36">
        <v>46125</v>
      </c>
      <c r="D13" s="50" t="s">
        <v>106</v>
      </c>
      <c r="E13" s="17" t="s">
        <v>185</v>
      </c>
      <c r="F13" s="37">
        <v>120</v>
      </c>
      <c r="G13" s="37">
        <v>108</v>
      </c>
      <c r="H13" s="21">
        <v>102</v>
      </c>
      <c r="I13" s="37">
        <f t="shared" si="0"/>
        <v>18</v>
      </c>
      <c r="J13" s="38">
        <f t="shared" si="1"/>
        <v>0.85</v>
      </c>
    </row>
    <row r="14" spans="1:10" x14ac:dyDescent="0.25">
      <c r="A14" s="21" t="s">
        <v>41</v>
      </c>
      <c r="B14" s="21" t="s">
        <v>174</v>
      </c>
      <c r="C14" s="36">
        <v>46125</v>
      </c>
      <c r="D14" s="50" t="s">
        <v>110</v>
      </c>
      <c r="E14" s="17" t="s">
        <v>185</v>
      </c>
      <c r="F14" s="21">
        <v>80</v>
      </c>
      <c r="G14" s="37">
        <v>70</v>
      </c>
      <c r="H14" s="21">
        <v>64</v>
      </c>
      <c r="I14" s="37">
        <f t="shared" si="0"/>
        <v>16</v>
      </c>
      <c r="J14" s="38">
        <f t="shared" si="1"/>
        <v>0.8</v>
      </c>
    </row>
    <row r="15" spans="1:10" x14ac:dyDescent="0.25">
      <c r="A15" s="21" t="s">
        <v>50</v>
      </c>
      <c r="B15" s="21" t="s">
        <v>173</v>
      </c>
      <c r="C15" s="36">
        <v>46126</v>
      </c>
      <c r="D15" s="50" t="s">
        <v>120</v>
      </c>
      <c r="E15" s="17" t="s">
        <v>185</v>
      </c>
      <c r="F15" s="21">
        <v>80</v>
      </c>
      <c r="G15" s="37">
        <v>70</v>
      </c>
      <c r="H15" s="21">
        <v>65</v>
      </c>
      <c r="I15" s="37">
        <f t="shared" si="0"/>
        <v>15</v>
      </c>
      <c r="J15" s="38">
        <f t="shared" si="1"/>
        <v>0.8125</v>
      </c>
    </row>
    <row r="16" spans="1:10" x14ac:dyDescent="0.25">
      <c r="A16" s="21" t="s">
        <v>60</v>
      </c>
      <c r="B16" s="21" t="s">
        <v>174</v>
      </c>
      <c r="C16" s="36">
        <v>46129</v>
      </c>
      <c r="D16" s="50" t="s">
        <v>146</v>
      </c>
      <c r="E16" s="17" t="s">
        <v>185</v>
      </c>
      <c r="F16" s="41">
        <v>50</v>
      </c>
      <c r="G16" s="41">
        <f>F16*0.9</f>
        <v>45</v>
      </c>
      <c r="H16" s="41">
        <v>38</v>
      </c>
      <c r="I16" s="41">
        <f t="shared" si="0"/>
        <v>12</v>
      </c>
      <c r="J16" s="42">
        <f t="shared" si="1"/>
        <v>0.76</v>
      </c>
    </row>
    <row r="17" spans="1:10" x14ac:dyDescent="0.25">
      <c r="A17" s="21" t="s">
        <v>55</v>
      </c>
      <c r="B17" s="21" t="s">
        <v>173</v>
      </c>
      <c r="C17" s="36">
        <v>46128</v>
      </c>
      <c r="D17" s="50" t="s">
        <v>145</v>
      </c>
      <c r="E17" s="17" t="s">
        <v>185</v>
      </c>
      <c r="F17" s="41">
        <v>50</v>
      </c>
      <c r="G17" s="41">
        <f>F17*0.9</f>
        <v>45</v>
      </c>
      <c r="H17" s="41">
        <v>38</v>
      </c>
      <c r="I17" s="41">
        <f t="shared" si="0"/>
        <v>12</v>
      </c>
      <c r="J17" s="42">
        <f t="shared" si="1"/>
        <v>0.76</v>
      </c>
    </row>
    <row r="18" spans="1:10" x14ac:dyDescent="0.25">
      <c r="A18" s="21" t="s">
        <v>52</v>
      </c>
      <c r="B18" s="21" t="s">
        <v>174</v>
      </c>
      <c r="C18" s="36">
        <v>46126</v>
      </c>
      <c r="D18" s="50" t="s">
        <v>124</v>
      </c>
      <c r="E18" s="17" t="s">
        <v>185</v>
      </c>
      <c r="F18" s="21">
        <v>50</v>
      </c>
      <c r="G18" s="37">
        <v>45</v>
      </c>
      <c r="H18" s="21">
        <v>38</v>
      </c>
      <c r="I18" s="37">
        <f t="shared" si="0"/>
        <v>12</v>
      </c>
      <c r="J18" s="38">
        <f t="shared" si="1"/>
        <v>0.76</v>
      </c>
    </row>
    <row r="19" spans="1:10" x14ac:dyDescent="0.25">
      <c r="A19" s="21" t="s">
        <v>62</v>
      </c>
      <c r="B19" s="21" t="s">
        <v>174</v>
      </c>
      <c r="C19" s="36">
        <v>46132</v>
      </c>
      <c r="D19" s="50" t="s">
        <v>113</v>
      </c>
      <c r="E19" s="17" t="s">
        <v>185</v>
      </c>
      <c r="F19" s="37">
        <v>65</v>
      </c>
      <c r="G19" s="37">
        <v>60</v>
      </c>
      <c r="H19" s="21">
        <v>49</v>
      </c>
      <c r="I19" s="37">
        <f t="shared" si="0"/>
        <v>16</v>
      </c>
      <c r="J19" s="38">
        <f t="shared" si="1"/>
        <v>0.75384615384615383</v>
      </c>
    </row>
    <row r="20" spans="1:10" x14ac:dyDescent="0.25">
      <c r="A20" s="21" t="s">
        <v>57</v>
      </c>
      <c r="B20" s="21" t="s">
        <v>174</v>
      </c>
      <c r="C20" s="36">
        <v>46128</v>
      </c>
      <c r="D20" s="50" t="s">
        <v>122</v>
      </c>
      <c r="E20" s="17" t="s">
        <v>185</v>
      </c>
      <c r="F20" s="21">
        <v>65</v>
      </c>
      <c r="G20" s="37">
        <v>60</v>
      </c>
      <c r="H20" s="21">
        <v>49</v>
      </c>
      <c r="I20" s="37">
        <f t="shared" si="0"/>
        <v>16</v>
      </c>
      <c r="J20" s="38">
        <f t="shared" si="1"/>
        <v>0.75384615384615383</v>
      </c>
    </row>
    <row r="21" spans="1:10" x14ac:dyDescent="0.25">
      <c r="A21" s="21" t="s">
        <v>83</v>
      </c>
      <c r="B21" s="21" t="s">
        <v>173</v>
      </c>
      <c r="C21" s="36">
        <v>46180</v>
      </c>
      <c r="D21" s="51" t="s">
        <v>181</v>
      </c>
      <c r="E21" s="17" t="s">
        <v>185</v>
      </c>
      <c r="F21" s="21">
        <v>75</v>
      </c>
      <c r="G21" s="37">
        <v>70</v>
      </c>
      <c r="H21" s="21">
        <v>54</v>
      </c>
      <c r="I21" s="37">
        <f t="shared" si="0"/>
        <v>21</v>
      </c>
      <c r="J21" s="38">
        <f t="shared" si="1"/>
        <v>0.72</v>
      </c>
    </row>
    <row r="22" spans="1:10" x14ac:dyDescent="0.25">
      <c r="A22" s="21" t="s">
        <v>39</v>
      </c>
      <c r="B22" s="21" t="s">
        <v>173</v>
      </c>
      <c r="C22" s="36">
        <v>46125</v>
      </c>
      <c r="D22" s="50" t="s">
        <v>114</v>
      </c>
      <c r="E22" s="17" t="s">
        <v>185</v>
      </c>
      <c r="F22" s="37">
        <v>75</v>
      </c>
      <c r="G22" s="37">
        <v>70</v>
      </c>
      <c r="H22" s="21">
        <v>54</v>
      </c>
      <c r="I22" s="37">
        <f t="shared" si="0"/>
        <v>21</v>
      </c>
      <c r="J22" s="38">
        <f t="shared" si="1"/>
        <v>0.72</v>
      </c>
    </row>
    <row r="23" spans="1:10" x14ac:dyDescent="0.25">
      <c r="A23" s="21" t="s">
        <v>30</v>
      </c>
      <c r="B23" s="21" t="s">
        <v>174</v>
      </c>
      <c r="C23" s="36">
        <v>46121</v>
      </c>
      <c r="D23" s="50" t="s">
        <v>111</v>
      </c>
      <c r="E23" s="17" t="s">
        <v>185</v>
      </c>
      <c r="F23" s="21">
        <v>80</v>
      </c>
      <c r="G23" s="37">
        <v>70</v>
      </c>
      <c r="H23" s="21">
        <v>57</v>
      </c>
      <c r="I23" s="37">
        <f t="shared" si="0"/>
        <v>23</v>
      </c>
      <c r="J23" s="38">
        <f t="shared" si="1"/>
        <v>0.71250000000000002</v>
      </c>
    </row>
    <row r="24" spans="1:10" x14ac:dyDescent="0.25">
      <c r="A24" s="21" t="s">
        <v>61</v>
      </c>
      <c r="B24" s="21" t="s">
        <v>174</v>
      </c>
      <c r="C24" s="36">
        <v>46132</v>
      </c>
      <c r="D24" s="50" t="s">
        <v>108</v>
      </c>
      <c r="E24" s="17" t="s">
        <v>185</v>
      </c>
      <c r="F24" s="37">
        <v>65</v>
      </c>
      <c r="G24" s="37">
        <v>60</v>
      </c>
      <c r="H24" s="21">
        <v>46</v>
      </c>
      <c r="I24" s="37">
        <f t="shared" si="0"/>
        <v>19</v>
      </c>
      <c r="J24" s="38">
        <f t="shared" si="1"/>
        <v>0.70769230769230773</v>
      </c>
    </row>
    <row r="25" spans="1:10" x14ac:dyDescent="0.25">
      <c r="A25" s="21" t="s">
        <v>12</v>
      </c>
      <c r="B25" s="21" t="s">
        <v>173</v>
      </c>
      <c r="C25" s="36">
        <v>46121</v>
      </c>
      <c r="D25" s="50" t="s">
        <v>118</v>
      </c>
      <c r="E25" s="17" t="s">
        <v>185</v>
      </c>
      <c r="F25" s="21">
        <v>60</v>
      </c>
      <c r="G25" s="37">
        <v>55</v>
      </c>
      <c r="H25" s="21">
        <v>41</v>
      </c>
      <c r="I25" s="37">
        <f t="shared" si="0"/>
        <v>19</v>
      </c>
      <c r="J25" s="38">
        <f t="shared" si="1"/>
        <v>0.68333333333333335</v>
      </c>
    </row>
    <row r="26" spans="1:10" x14ac:dyDescent="0.25">
      <c r="A26" s="21" t="s">
        <v>10</v>
      </c>
      <c r="B26" s="21" t="s">
        <v>173</v>
      </c>
      <c r="C26" s="36">
        <v>46099</v>
      </c>
      <c r="D26" s="50" t="s">
        <v>97</v>
      </c>
      <c r="E26" s="17" t="s">
        <v>185</v>
      </c>
      <c r="F26" s="37">
        <v>110</v>
      </c>
      <c r="G26" s="37">
        <v>102</v>
      </c>
      <c r="H26" s="37">
        <v>75</v>
      </c>
      <c r="I26" s="37">
        <f t="shared" si="0"/>
        <v>35</v>
      </c>
      <c r="J26" s="38">
        <f t="shared" si="1"/>
        <v>0.68181818181818177</v>
      </c>
    </row>
    <row r="27" spans="1:10" x14ac:dyDescent="0.25">
      <c r="A27" s="21" t="s">
        <v>36</v>
      </c>
      <c r="B27" s="21" t="s">
        <v>173</v>
      </c>
      <c r="C27" s="36">
        <v>45985</v>
      </c>
      <c r="D27" s="50" t="s">
        <v>99</v>
      </c>
      <c r="E27" s="17" t="s">
        <v>185</v>
      </c>
      <c r="F27" s="37">
        <v>130</v>
      </c>
      <c r="G27" s="37">
        <v>120</v>
      </c>
      <c r="H27" s="37">
        <v>78</v>
      </c>
      <c r="I27" s="37">
        <f t="shared" si="0"/>
        <v>52</v>
      </c>
      <c r="J27" s="20">
        <f t="shared" si="1"/>
        <v>0.6</v>
      </c>
    </row>
    <row r="28" spans="1:10" x14ac:dyDescent="0.25">
      <c r="A28" s="21" t="s">
        <v>4</v>
      </c>
      <c r="B28" s="21" t="s">
        <v>173</v>
      </c>
      <c r="C28" s="36">
        <v>46020</v>
      </c>
      <c r="D28" s="50" t="s">
        <v>100</v>
      </c>
      <c r="E28" s="17" t="s">
        <v>185</v>
      </c>
      <c r="F28" s="37">
        <v>110</v>
      </c>
      <c r="G28" s="37">
        <v>100</v>
      </c>
      <c r="H28" s="37">
        <v>66</v>
      </c>
      <c r="I28" s="37">
        <f t="shared" si="0"/>
        <v>44</v>
      </c>
      <c r="J28" s="20">
        <f t="shared" si="1"/>
        <v>0.6</v>
      </c>
    </row>
    <row r="29" spans="1:10" x14ac:dyDescent="0.25">
      <c r="A29" s="21" t="s">
        <v>37</v>
      </c>
      <c r="B29" s="21" t="s">
        <v>174</v>
      </c>
      <c r="C29" s="36">
        <v>46118</v>
      </c>
      <c r="D29" s="50" t="s">
        <v>115</v>
      </c>
      <c r="E29" s="17" t="s">
        <v>185</v>
      </c>
      <c r="F29" s="21">
        <v>75</v>
      </c>
      <c r="G29" s="37">
        <v>70</v>
      </c>
      <c r="H29" s="21">
        <v>43</v>
      </c>
      <c r="I29" s="37">
        <f t="shared" si="0"/>
        <v>32</v>
      </c>
      <c r="J29" s="20">
        <f t="shared" si="1"/>
        <v>0.57333333333333336</v>
      </c>
    </row>
    <row r="30" spans="1:10" x14ac:dyDescent="0.25">
      <c r="A30" s="21" t="s">
        <v>31</v>
      </c>
      <c r="B30" s="21" t="s">
        <v>174</v>
      </c>
      <c r="C30" s="36">
        <v>46121</v>
      </c>
      <c r="D30" s="50" t="s">
        <v>109</v>
      </c>
      <c r="E30" s="17" t="s">
        <v>185</v>
      </c>
      <c r="F30" s="21">
        <v>80</v>
      </c>
      <c r="G30" s="37">
        <v>70</v>
      </c>
      <c r="H30" s="21">
        <v>44</v>
      </c>
      <c r="I30" s="37">
        <f t="shared" si="0"/>
        <v>36</v>
      </c>
      <c r="J30" s="20">
        <f t="shared" si="1"/>
        <v>0.55000000000000004</v>
      </c>
    </row>
    <row r="31" spans="1:10" x14ac:dyDescent="0.25">
      <c r="A31" s="21" t="s">
        <v>9</v>
      </c>
      <c r="B31" s="21" t="s">
        <v>173</v>
      </c>
      <c r="C31" s="36">
        <v>46097</v>
      </c>
      <c r="D31" s="50" t="s">
        <v>102</v>
      </c>
      <c r="E31" s="17" t="s">
        <v>185</v>
      </c>
      <c r="F31" s="37">
        <v>110</v>
      </c>
      <c r="G31" s="37">
        <v>100</v>
      </c>
      <c r="H31" s="37">
        <v>58</v>
      </c>
      <c r="I31" s="37">
        <f t="shared" si="0"/>
        <v>52</v>
      </c>
      <c r="J31" s="20">
        <f t="shared" si="1"/>
        <v>0.52727272727272723</v>
      </c>
    </row>
    <row r="32" spans="1:10" x14ac:dyDescent="0.25">
      <c r="A32" s="21" t="s">
        <v>56</v>
      </c>
      <c r="B32" s="21" t="s">
        <v>174</v>
      </c>
      <c r="C32" s="36">
        <v>46128</v>
      </c>
      <c r="D32" s="50" t="s">
        <v>123</v>
      </c>
      <c r="E32" s="17" t="s">
        <v>185</v>
      </c>
      <c r="F32" s="21">
        <v>65</v>
      </c>
      <c r="G32" s="37">
        <v>60</v>
      </c>
      <c r="H32" s="21">
        <v>34</v>
      </c>
      <c r="I32" s="37">
        <f t="shared" si="0"/>
        <v>31</v>
      </c>
      <c r="J32" s="20">
        <f t="shared" si="1"/>
        <v>0.52307692307692311</v>
      </c>
    </row>
    <row r="33" spans="1:12" x14ac:dyDescent="0.25">
      <c r="A33" s="21" t="s">
        <v>53</v>
      </c>
      <c r="B33" s="21" t="s">
        <v>173</v>
      </c>
      <c r="C33" s="36">
        <v>46128</v>
      </c>
      <c r="D33" s="50" t="s">
        <v>121</v>
      </c>
      <c r="E33" s="17" t="s">
        <v>185</v>
      </c>
      <c r="F33" s="21">
        <v>65</v>
      </c>
      <c r="G33" s="37">
        <v>60</v>
      </c>
      <c r="H33" s="21">
        <v>33</v>
      </c>
      <c r="I33" s="37">
        <f t="shared" si="0"/>
        <v>32</v>
      </c>
      <c r="J33" s="20">
        <f t="shared" si="1"/>
        <v>0.50769230769230766</v>
      </c>
    </row>
    <row r="34" spans="1:12" x14ac:dyDescent="0.25">
      <c r="A34" s="21" t="s">
        <v>8</v>
      </c>
      <c r="B34" s="21" t="s">
        <v>173</v>
      </c>
      <c r="C34" s="36">
        <v>46080</v>
      </c>
      <c r="D34" s="50" t="s">
        <v>105</v>
      </c>
      <c r="E34" s="17" t="s">
        <v>185</v>
      </c>
      <c r="F34" s="37">
        <v>120</v>
      </c>
      <c r="G34" s="37">
        <v>108</v>
      </c>
      <c r="H34" s="37">
        <v>58</v>
      </c>
      <c r="I34" s="37">
        <f t="shared" si="0"/>
        <v>62</v>
      </c>
      <c r="J34" s="20">
        <f t="shared" si="1"/>
        <v>0.48333333333333334</v>
      </c>
    </row>
    <row r="35" spans="1:12" x14ac:dyDescent="0.25">
      <c r="A35" s="21" t="s">
        <v>40</v>
      </c>
      <c r="B35" s="21" t="s">
        <v>174</v>
      </c>
      <c r="C35" s="36">
        <v>46125</v>
      </c>
      <c r="D35" s="50" t="s">
        <v>117</v>
      </c>
      <c r="E35" s="17" t="s">
        <v>185</v>
      </c>
      <c r="F35" s="21">
        <v>85</v>
      </c>
      <c r="G35" s="37">
        <v>80</v>
      </c>
      <c r="H35" s="21">
        <v>40</v>
      </c>
      <c r="I35" s="37">
        <f t="shared" si="0"/>
        <v>45</v>
      </c>
      <c r="J35" s="20">
        <f t="shared" si="1"/>
        <v>0.47058823529411764</v>
      </c>
    </row>
    <row r="36" spans="1:12" x14ac:dyDescent="0.25">
      <c r="A36" s="21" t="s">
        <v>51</v>
      </c>
      <c r="B36" s="21" t="s">
        <v>173</v>
      </c>
      <c r="C36" s="36">
        <v>46126</v>
      </c>
      <c r="D36" s="50" t="s">
        <v>119</v>
      </c>
      <c r="E36" s="17" t="s">
        <v>185</v>
      </c>
      <c r="F36" s="21">
        <v>65</v>
      </c>
      <c r="G36" s="37">
        <v>60</v>
      </c>
      <c r="H36" s="21">
        <v>23</v>
      </c>
      <c r="I36" s="37">
        <f t="shared" si="0"/>
        <v>42</v>
      </c>
      <c r="J36" s="20">
        <f t="shared" si="1"/>
        <v>0.35384615384615387</v>
      </c>
      <c r="L36" t="s">
        <v>78</v>
      </c>
    </row>
    <row r="37" spans="1:12" x14ac:dyDescent="0.25">
      <c r="A37" s="17" t="s">
        <v>59</v>
      </c>
      <c r="B37" s="17" t="s">
        <v>173</v>
      </c>
      <c r="C37" s="18">
        <v>46129</v>
      </c>
      <c r="D37" s="49" t="s">
        <v>116</v>
      </c>
      <c r="E37" s="17" t="s">
        <v>185</v>
      </c>
      <c r="F37" s="17">
        <v>80</v>
      </c>
      <c r="G37" s="19">
        <v>75</v>
      </c>
      <c r="H37" s="17">
        <v>27</v>
      </c>
      <c r="I37" s="19">
        <f t="shared" si="0"/>
        <v>53</v>
      </c>
      <c r="J37" s="20">
        <f t="shared" si="1"/>
        <v>0.33750000000000002</v>
      </c>
      <c r="L37" t="s">
        <v>78</v>
      </c>
    </row>
    <row r="38" spans="1:12" x14ac:dyDescent="0.25">
      <c r="A38" s="54" t="s">
        <v>81</v>
      </c>
      <c r="B38" s="54"/>
      <c r="C38" s="54"/>
      <c r="D38" s="54"/>
      <c r="E38" s="12"/>
      <c r="F38" s="22">
        <f>SUM(F3:F37)</f>
        <v>3130</v>
      </c>
      <c r="G38" s="22">
        <f>SUM(G2:G37)</f>
        <v>2837.9</v>
      </c>
      <c r="H38" s="22">
        <f>SUM(H3:H37)</f>
        <v>2417</v>
      </c>
      <c r="I38" s="22">
        <f>SUM(I3:I37)</f>
        <v>713</v>
      </c>
      <c r="J38" s="23">
        <f t="shared" ref="J38" si="2">H38/F38</f>
        <v>0.77220447284345051</v>
      </c>
    </row>
  </sheetData>
  <sortState xmlns:xlrd2="http://schemas.microsoft.com/office/spreadsheetml/2017/richdata2" ref="A3:J37">
    <sortCondition descending="1" ref="J3:J37"/>
  </sortState>
  <mergeCells count="2">
    <mergeCell ref="A1:J1"/>
    <mergeCell ref="A38:D38"/>
  </mergeCells>
  <hyperlinks>
    <hyperlink ref="D21" r:id="rId1" xr:uid="{2514B24A-6599-4B1B-A056-4FC051370B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2818-CBA2-4122-932F-560A8F95D686}">
  <dimension ref="A1:J13"/>
  <sheetViews>
    <sheetView workbookViewId="0">
      <selection activeCell="D18" sqref="D18"/>
    </sheetView>
  </sheetViews>
  <sheetFormatPr defaultRowHeight="15" x14ac:dyDescent="0.25"/>
  <cols>
    <col min="1" max="1" width="18.28515625" style="1" customWidth="1"/>
    <col min="2" max="3" width="15.7109375" style="1" customWidth="1"/>
    <col min="4" max="4" width="29.85546875" style="1" customWidth="1"/>
    <col min="5" max="5" width="17.5703125" style="1" customWidth="1"/>
    <col min="6" max="6" width="12.7109375" style="1" customWidth="1"/>
    <col min="7" max="7" width="11.140625" style="1" customWidth="1"/>
    <col min="8" max="8" width="13.28515625" style="1" customWidth="1"/>
    <col min="9" max="9" width="12.42578125" style="1" customWidth="1"/>
    <col min="10" max="10" width="14.5703125" style="1" customWidth="1"/>
    <col min="11" max="16384" width="9.140625" style="1"/>
  </cols>
  <sheetData>
    <row r="1" spans="1:10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</row>
    <row r="2" spans="1:10" x14ac:dyDescent="0.25">
      <c r="A2" s="24" t="s">
        <v>0</v>
      </c>
      <c r="B2" s="24" t="s">
        <v>172</v>
      </c>
      <c r="C2" s="24" t="s">
        <v>171</v>
      </c>
      <c r="D2" s="24" t="s">
        <v>92</v>
      </c>
      <c r="E2" s="24" t="s">
        <v>184</v>
      </c>
      <c r="F2" s="29" t="s">
        <v>72</v>
      </c>
      <c r="G2" s="30">
        <v>0.9</v>
      </c>
      <c r="H2" s="29" t="s">
        <v>76</v>
      </c>
      <c r="I2" s="29" t="s">
        <v>73</v>
      </c>
      <c r="J2" s="29" t="s">
        <v>77</v>
      </c>
    </row>
    <row r="3" spans="1:10" x14ac:dyDescent="0.25">
      <c r="A3" s="17" t="s">
        <v>43</v>
      </c>
      <c r="B3" s="17" t="s">
        <v>173</v>
      </c>
      <c r="C3" s="18">
        <v>46125</v>
      </c>
      <c r="D3" s="49" t="s">
        <v>130</v>
      </c>
      <c r="E3" s="17" t="s">
        <v>185</v>
      </c>
      <c r="F3" s="26">
        <v>70</v>
      </c>
      <c r="G3" s="26">
        <v>65</v>
      </c>
      <c r="H3" s="26">
        <v>104</v>
      </c>
      <c r="I3" s="27">
        <f t="shared" ref="I3:I12" si="0">F3-H3</f>
        <v>-34</v>
      </c>
      <c r="J3" s="28">
        <f t="shared" ref="J3:J12" si="1">H3/F3</f>
        <v>1.4857142857142858</v>
      </c>
    </row>
    <row r="4" spans="1:10" x14ac:dyDescent="0.25">
      <c r="A4" s="17" t="s">
        <v>13</v>
      </c>
      <c r="B4" s="17" t="s">
        <v>173</v>
      </c>
      <c r="C4" s="18">
        <v>46006</v>
      </c>
      <c r="D4" s="49" t="s">
        <v>127</v>
      </c>
      <c r="E4" s="17" t="s">
        <v>185</v>
      </c>
      <c r="F4" s="26">
        <v>100</v>
      </c>
      <c r="G4" s="26">
        <f>F4*0.9</f>
        <v>90</v>
      </c>
      <c r="H4" s="27">
        <v>116</v>
      </c>
      <c r="I4" s="27">
        <f t="shared" si="0"/>
        <v>-16</v>
      </c>
      <c r="J4" s="28">
        <f t="shared" si="1"/>
        <v>1.1599999999999999</v>
      </c>
    </row>
    <row r="5" spans="1:10" x14ac:dyDescent="0.25">
      <c r="A5" s="17" t="s">
        <v>33</v>
      </c>
      <c r="B5" s="17" t="s">
        <v>173</v>
      </c>
      <c r="C5" s="18">
        <v>46104</v>
      </c>
      <c r="D5" s="49" t="s">
        <v>128</v>
      </c>
      <c r="E5" s="17" t="s">
        <v>185</v>
      </c>
      <c r="F5" s="26">
        <v>100</v>
      </c>
      <c r="G5" s="26">
        <f>F5*0.9</f>
        <v>90</v>
      </c>
      <c r="H5" s="27">
        <v>112</v>
      </c>
      <c r="I5" s="27">
        <f t="shared" si="0"/>
        <v>-12</v>
      </c>
      <c r="J5" s="28">
        <f t="shared" si="1"/>
        <v>1.1200000000000001</v>
      </c>
    </row>
    <row r="6" spans="1:10" x14ac:dyDescent="0.25">
      <c r="A6" s="21" t="s">
        <v>63</v>
      </c>
      <c r="B6" s="21" t="s">
        <v>174</v>
      </c>
      <c r="C6" s="36">
        <v>46153</v>
      </c>
      <c r="D6" s="50" t="s">
        <v>135</v>
      </c>
      <c r="E6" s="21" t="s">
        <v>185</v>
      </c>
      <c r="F6" s="41">
        <v>35</v>
      </c>
      <c r="G6" s="43">
        <f>F6*0.9</f>
        <v>31.5</v>
      </c>
      <c r="H6" s="41">
        <v>37</v>
      </c>
      <c r="I6" s="43">
        <f t="shared" si="0"/>
        <v>-2</v>
      </c>
      <c r="J6" s="44">
        <f t="shared" si="1"/>
        <v>1.0571428571428572</v>
      </c>
    </row>
    <row r="7" spans="1:10" x14ac:dyDescent="0.25">
      <c r="A7" s="21" t="s">
        <v>34</v>
      </c>
      <c r="B7" s="21" t="s">
        <v>173</v>
      </c>
      <c r="C7" s="36">
        <v>46125</v>
      </c>
      <c r="D7" s="50" t="s">
        <v>129</v>
      </c>
      <c r="E7" s="21" t="s">
        <v>185</v>
      </c>
      <c r="F7" s="41">
        <v>90</v>
      </c>
      <c r="G7" s="41">
        <v>80</v>
      </c>
      <c r="H7" s="43">
        <v>93</v>
      </c>
      <c r="I7" s="43">
        <f t="shared" si="0"/>
        <v>-3</v>
      </c>
      <c r="J7" s="44">
        <f t="shared" si="1"/>
        <v>1.0333333333333334</v>
      </c>
    </row>
    <row r="8" spans="1:10" x14ac:dyDescent="0.25">
      <c r="A8" s="21" t="s">
        <v>58</v>
      </c>
      <c r="B8" s="21" t="s">
        <v>174</v>
      </c>
      <c r="C8" s="36">
        <v>46128</v>
      </c>
      <c r="D8" s="50" t="s">
        <v>134</v>
      </c>
      <c r="E8" s="21" t="s">
        <v>185</v>
      </c>
      <c r="F8" s="41">
        <v>40</v>
      </c>
      <c r="G8" s="41">
        <f>F8*0.9</f>
        <v>36</v>
      </c>
      <c r="H8" s="41">
        <v>39</v>
      </c>
      <c r="I8" s="43">
        <f t="shared" si="0"/>
        <v>1</v>
      </c>
      <c r="J8" s="44">
        <f t="shared" si="1"/>
        <v>0.97499999999999998</v>
      </c>
    </row>
    <row r="9" spans="1:10" x14ac:dyDescent="0.25">
      <c r="A9" s="21" t="s">
        <v>54</v>
      </c>
      <c r="B9" s="21" t="s">
        <v>173</v>
      </c>
      <c r="C9" s="36">
        <v>46128</v>
      </c>
      <c r="D9" s="50" t="s">
        <v>132</v>
      </c>
      <c r="E9" s="21" t="s">
        <v>185</v>
      </c>
      <c r="F9" s="41">
        <v>60</v>
      </c>
      <c r="G9" s="41">
        <v>55</v>
      </c>
      <c r="H9" s="41">
        <v>53</v>
      </c>
      <c r="I9" s="43">
        <f t="shared" si="0"/>
        <v>7</v>
      </c>
      <c r="J9" s="44">
        <f t="shared" si="1"/>
        <v>0.8833333333333333</v>
      </c>
    </row>
    <row r="10" spans="1:10" x14ac:dyDescent="0.25">
      <c r="A10" s="21" t="s">
        <v>14</v>
      </c>
      <c r="B10" s="21" t="s">
        <v>173</v>
      </c>
      <c r="C10" s="36">
        <v>46006</v>
      </c>
      <c r="D10" s="50" t="s">
        <v>126</v>
      </c>
      <c r="E10" s="21" t="s">
        <v>185</v>
      </c>
      <c r="F10" s="41">
        <v>100</v>
      </c>
      <c r="G10" s="41">
        <f>F10*0.9</f>
        <v>90</v>
      </c>
      <c r="H10" s="43">
        <v>87</v>
      </c>
      <c r="I10" s="43">
        <f t="shared" si="0"/>
        <v>13</v>
      </c>
      <c r="J10" s="44">
        <f t="shared" si="1"/>
        <v>0.87</v>
      </c>
    </row>
    <row r="11" spans="1:10" x14ac:dyDescent="0.25">
      <c r="A11" s="21" t="s">
        <v>16</v>
      </c>
      <c r="B11" s="21" t="s">
        <v>173</v>
      </c>
      <c r="C11" s="36">
        <v>46118</v>
      </c>
      <c r="D11" s="50" t="s">
        <v>131</v>
      </c>
      <c r="E11" s="21" t="s">
        <v>185</v>
      </c>
      <c r="F11" s="41">
        <v>60</v>
      </c>
      <c r="G11" s="41">
        <v>55</v>
      </c>
      <c r="H11" s="41">
        <v>51</v>
      </c>
      <c r="I11" s="43">
        <f t="shared" si="0"/>
        <v>9</v>
      </c>
      <c r="J11" s="44">
        <f t="shared" si="1"/>
        <v>0.85</v>
      </c>
    </row>
    <row r="12" spans="1:10" x14ac:dyDescent="0.25">
      <c r="A12" s="21" t="s">
        <v>15</v>
      </c>
      <c r="B12" s="21" t="s">
        <v>173</v>
      </c>
      <c r="C12" s="36">
        <v>46118</v>
      </c>
      <c r="D12" s="50" t="s">
        <v>133</v>
      </c>
      <c r="E12" s="21" t="s">
        <v>185</v>
      </c>
      <c r="F12" s="41">
        <v>50</v>
      </c>
      <c r="G12" s="41">
        <f>F12*0.9</f>
        <v>45</v>
      </c>
      <c r="H12" s="41">
        <v>42</v>
      </c>
      <c r="I12" s="43">
        <f t="shared" si="0"/>
        <v>8</v>
      </c>
      <c r="J12" s="44">
        <f t="shared" si="1"/>
        <v>0.84</v>
      </c>
    </row>
    <row r="13" spans="1:10" x14ac:dyDescent="0.25">
      <c r="A13" s="59" t="s">
        <v>81</v>
      </c>
      <c r="B13" s="59"/>
      <c r="C13" s="59"/>
      <c r="D13" s="59"/>
      <c r="E13" s="29"/>
      <c r="F13" s="12">
        <f>SUM(F3:F12)</f>
        <v>705</v>
      </c>
      <c r="G13" s="22">
        <f>SUM(G3:G12)</f>
        <v>637.5</v>
      </c>
      <c r="H13" s="22">
        <f>SUM(H3:H12)</f>
        <v>734</v>
      </c>
      <c r="I13" s="22">
        <f>SUM(I3:I12)</f>
        <v>-29</v>
      </c>
      <c r="J13" s="23">
        <f t="shared" ref="J13" si="2">H13/F13</f>
        <v>1.0411347517730496</v>
      </c>
    </row>
  </sheetData>
  <sortState xmlns:xlrd2="http://schemas.microsoft.com/office/spreadsheetml/2017/richdata2" ref="A3:J12">
    <sortCondition descending="1" ref="J3:J12"/>
  </sortState>
  <mergeCells count="2">
    <mergeCell ref="A1:J1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2242-2DB4-4680-904B-EB2EB0910189}">
  <dimension ref="A1:J8"/>
  <sheetViews>
    <sheetView workbookViewId="0">
      <selection activeCell="A9" sqref="A9"/>
    </sheetView>
  </sheetViews>
  <sheetFormatPr defaultRowHeight="15" x14ac:dyDescent="0.25"/>
  <cols>
    <col min="1" max="1" width="17.42578125" customWidth="1"/>
    <col min="2" max="3" width="15.140625" customWidth="1"/>
    <col min="4" max="4" width="30" customWidth="1"/>
    <col min="5" max="5" width="15.28515625" customWidth="1"/>
    <col min="6" max="6" width="10.28515625" customWidth="1"/>
    <col min="7" max="7" width="10.42578125" customWidth="1"/>
    <col min="8" max="8" width="10.7109375" customWidth="1"/>
    <col min="9" max="9" width="14.7109375" customWidth="1"/>
    <col min="10" max="10" width="11.42578125" customWidth="1"/>
  </cols>
  <sheetData>
    <row r="1" spans="1:10" ht="15.75" thickBot="1" x14ac:dyDescent="0.3">
      <c r="A1" s="60"/>
      <c r="B1" s="60"/>
      <c r="C1" s="60"/>
      <c r="D1" s="60"/>
      <c r="E1" s="60"/>
      <c r="F1" s="60"/>
      <c r="G1" s="60"/>
      <c r="H1" s="60"/>
      <c r="I1" s="60"/>
      <c r="J1" s="61"/>
    </row>
    <row r="2" spans="1:10" x14ac:dyDescent="0.25">
      <c r="A2" s="24" t="s">
        <v>0</v>
      </c>
      <c r="B2" s="24" t="s">
        <v>172</v>
      </c>
      <c r="C2" s="24" t="s">
        <v>171</v>
      </c>
      <c r="D2" s="24" t="s">
        <v>92</v>
      </c>
      <c r="E2" s="24" t="s">
        <v>183</v>
      </c>
      <c r="F2" s="12" t="s">
        <v>72</v>
      </c>
      <c r="G2" s="25">
        <v>0.9</v>
      </c>
      <c r="H2" s="12" t="s">
        <v>76</v>
      </c>
      <c r="I2" s="12" t="s">
        <v>73</v>
      </c>
      <c r="J2" s="12" t="s">
        <v>82</v>
      </c>
    </row>
    <row r="3" spans="1:10" x14ac:dyDescent="0.25">
      <c r="A3" s="21" t="s">
        <v>24</v>
      </c>
      <c r="B3" s="21" t="s">
        <v>173</v>
      </c>
      <c r="C3" s="36">
        <v>46065</v>
      </c>
      <c r="D3" s="21" t="s">
        <v>142</v>
      </c>
      <c r="E3" s="21" t="s">
        <v>185</v>
      </c>
      <c r="F3" s="41">
        <v>45</v>
      </c>
      <c r="G3" s="43">
        <v>40</v>
      </c>
      <c r="H3" s="41">
        <v>39</v>
      </c>
      <c r="I3" s="41">
        <f>F3-H3</f>
        <v>6</v>
      </c>
      <c r="J3" s="42">
        <f>H3/F3</f>
        <v>0.8666666666666667</v>
      </c>
    </row>
    <row r="4" spans="1:10" x14ac:dyDescent="0.25">
      <c r="A4" s="21" t="s">
        <v>48</v>
      </c>
      <c r="B4" s="21" t="s">
        <v>174</v>
      </c>
      <c r="C4" s="36">
        <v>46121</v>
      </c>
      <c r="D4" s="21" t="s">
        <v>144</v>
      </c>
      <c r="E4" s="21" t="s">
        <v>185</v>
      </c>
      <c r="F4" s="41">
        <v>35</v>
      </c>
      <c r="G4" s="43">
        <v>30</v>
      </c>
      <c r="H4" s="41">
        <v>30</v>
      </c>
      <c r="I4" s="41">
        <f>F4-H4</f>
        <v>5</v>
      </c>
      <c r="J4" s="42">
        <f>H4/F4</f>
        <v>0.8571428571428571</v>
      </c>
    </row>
    <row r="5" spans="1:10" x14ac:dyDescent="0.25">
      <c r="A5" s="21" t="s">
        <v>22</v>
      </c>
      <c r="B5" s="21" t="s">
        <v>173</v>
      </c>
      <c r="C5" s="36">
        <v>46020</v>
      </c>
      <c r="D5" s="21" t="s">
        <v>141</v>
      </c>
      <c r="E5" s="21" t="s">
        <v>185</v>
      </c>
      <c r="F5" s="41">
        <v>45</v>
      </c>
      <c r="G5" s="41">
        <v>40</v>
      </c>
      <c r="H5" s="41">
        <v>37</v>
      </c>
      <c r="I5" s="41">
        <f>F5-H5</f>
        <v>8</v>
      </c>
      <c r="J5" s="42">
        <f>H5/F5</f>
        <v>0.82222222222222219</v>
      </c>
    </row>
    <row r="6" spans="1:10" x14ac:dyDescent="0.25">
      <c r="A6" s="21" t="s">
        <v>23</v>
      </c>
      <c r="B6" s="21" t="s">
        <v>173</v>
      </c>
      <c r="C6" s="36">
        <v>46020</v>
      </c>
      <c r="D6" s="21" t="s">
        <v>143</v>
      </c>
      <c r="E6" s="21" t="s">
        <v>185</v>
      </c>
      <c r="F6" s="41">
        <v>50</v>
      </c>
      <c r="G6" s="41">
        <f>F6*0.9</f>
        <v>45</v>
      </c>
      <c r="H6" s="41">
        <v>32</v>
      </c>
      <c r="I6" s="41">
        <f>F6-H6</f>
        <v>18</v>
      </c>
      <c r="J6" s="42">
        <f>H6/F6</f>
        <v>0.64</v>
      </c>
    </row>
    <row r="7" spans="1:10" x14ac:dyDescent="0.25">
      <c r="A7" s="21" t="s">
        <v>25</v>
      </c>
      <c r="B7" s="21" t="s">
        <v>173</v>
      </c>
      <c r="C7" s="36">
        <v>46118</v>
      </c>
      <c r="D7" s="21" t="s">
        <v>147</v>
      </c>
      <c r="E7" s="21" t="s">
        <v>185</v>
      </c>
      <c r="F7" s="41">
        <v>30</v>
      </c>
      <c r="G7" s="41">
        <v>27</v>
      </c>
      <c r="H7" s="41">
        <v>17</v>
      </c>
      <c r="I7" s="41">
        <f>F7-H7</f>
        <v>13</v>
      </c>
      <c r="J7" s="42">
        <f>H7/F7</f>
        <v>0.56666666666666665</v>
      </c>
    </row>
    <row r="8" spans="1:10" x14ac:dyDescent="0.25">
      <c r="A8" s="62" t="s">
        <v>81</v>
      </c>
      <c r="B8" s="62"/>
      <c r="C8" s="62"/>
      <c r="D8" s="63"/>
      <c r="E8" s="13"/>
      <c r="F8" s="12">
        <f>SUM(F3:F7)</f>
        <v>205</v>
      </c>
      <c r="G8" s="22">
        <f>SUM(G3:G7)</f>
        <v>182</v>
      </c>
      <c r="H8" s="12">
        <f>SUM(H3:H7)</f>
        <v>155</v>
      </c>
      <c r="I8" s="12">
        <f>SUM(I3:I7)</f>
        <v>50</v>
      </c>
      <c r="J8" s="23">
        <f>I8/F8</f>
        <v>0.24390243902439024</v>
      </c>
    </row>
  </sheetData>
  <sortState xmlns:xlrd2="http://schemas.microsoft.com/office/spreadsheetml/2017/richdata2" ref="A3:J7">
    <sortCondition descending="1" ref="J3:J7"/>
  </sortState>
  <mergeCells count="2">
    <mergeCell ref="A1:J1"/>
    <mergeCell ref="A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A981-D9A3-4427-AD1A-B192078281FC}">
  <dimension ref="A1:J8"/>
  <sheetViews>
    <sheetView workbookViewId="0">
      <selection activeCell="A9" sqref="A9"/>
    </sheetView>
  </sheetViews>
  <sheetFormatPr defaultRowHeight="15" x14ac:dyDescent="0.25"/>
  <cols>
    <col min="1" max="1" width="19.140625" customWidth="1"/>
    <col min="2" max="3" width="14.5703125" customWidth="1"/>
    <col min="4" max="5" width="28.5703125" customWidth="1"/>
    <col min="6" max="6" width="11.28515625" customWidth="1"/>
    <col min="7" max="7" width="11" customWidth="1"/>
    <col min="8" max="8" width="12.7109375" customWidth="1"/>
    <col min="9" max="9" width="12.5703125" customWidth="1"/>
    <col min="10" max="10" width="14.5703125" customWidth="1"/>
  </cols>
  <sheetData>
    <row r="1" spans="1:10" ht="15.75" thickBot="1" x14ac:dyDescent="0.3">
      <c r="A1" s="64"/>
      <c r="B1" s="64"/>
      <c r="C1" s="64"/>
      <c r="D1" s="64"/>
      <c r="E1" s="64"/>
      <c r="F1" s="64"/>
      <c r="G1" s="64"/>
      <c r="H1" s="64"/>
      <c r="I1" s="64"/>
      <c r="J1" s="65"/>
    </row>
    <row r="2" spans="1:10" x14ac:dyDescent="0.25">
      <c r="A2" s="15" t="s">
        <v>0</v>
      </c>
      <c r="B2" s="15" t="s">
        <v>172</v>
      </c>
      <c r="C2" s="15" t="s">
        <v>171</v>
      </c>
      <c r="D2" s="15" t="s">
        <v>92</v>
      </c>
      <c r="E2" s="15" t="s">
        <v>184</v>
      </c>
      <c r="F2" s="10" t="s">
        <v>72</v>
      </c>
      <c r="G2" s="16">
        <v>0.9</v>
      </c>
      <c r="H2" s="10" t="s">
        <v>76</v>
      </c>
      <c r="I2" s="10" t="s">
        <v>73</v>
      </c>
      <c r="J2" s="10" t="s">
        <v>77</v>
      </c>
    </row>
    <row r="3" spans="1:10" x14ac:dyDescent="0.25">
      <c r="A3" s="21" t="s">
        <v>19</v>
      </c>
      <c r="B3" s="21" t="s">
        <v>173</v>
      </c>
      <c r="C3" s="36">
        <v>45985</v>
      </c>
      <c r="D3" s="21" t="s">
        <v>136</v>
      </c>
      <c r="E3" s="21" t="s">
        <v>185</v>
      </c>
      <c r="F3" s="21">
        <v>75</v>
      </c>
      <c r="G3" s="37">
        <v>70</v>
      </c>
      <c r="H3" s="37">
        <v>82</v>
      </c>
      <c r="I3" s="37">
        <f>F3-H3</f>
        <v>-7</v>
      </c>
      <c r="J3" s="45">
        <f>H3/F3</f>
        <v>1.0933333333333333</v>
      </c>
    </row>
    <row r="4" spans="1:10" x14ac:dyDescent="0.25">
      <c r="A4" s="21" t="s">
        <v>20</v>
      </c>
      <c r="B4" s="21" t="s">
        <v>173</v>
      </c>
      <c r="C4" s="36">
        <v>46090</v>
      </c>
      <c r="D4" s="21" t="s">
        <v>138</v>
      </c>
      <c r="E4" s="21" t="s">
        <v>185</v>
      </c>
      <c r="F4" s="21">
        <v>50</v>
      </c>
      <c r="G4" s="37">
        <f>F4*0.9</f>
        <v>45</v>
      </c>
      <c r="H4" s="37">
        <v>52</v>
      </c>
      <c r="I4" s="37">
        <f>F4-H4</f>
        <v>-2</v>
      </c>
      <c r="J4" s="45">
        <f>H4/F4</f>
        <v>1.04</v>
      </c>
    </row>
    <row r="5" spans="1:10" x14ac:dyDescent="0.25">
      <c r="A5" s="21" t="s">
        <v>42</v>
      </c>
      <c r="B5" s="21" t="s">
        <v>174</v>
      </c>
      <c r="C5" s="36">
        <v>46119</v>
      </c>
      <c r="D5" s="21" t="s">
        <v>140</v>
      </c>
      <c r="E5" s="21" t="s">
        <v>185</v>
      </c>
      <c r="F5" s="21">
        <v>45</v>
      </c>
      <c r="G5" s="37">
        <v>40</v>
      </c>
      <c r="H5" s="6">
        <v>40</v>
      </c>
      <c r="I5" s="37">
        <f>F5-H5</f>
        <v>5</v>
      </c>
      <c r="J5" s="45">
        <f>H5/F5</f>
        <v>0.88888888888888884</v>
      </c>
    </row>
    <row r="6" spans="1:10" x14ac:dyDescent="0.25">
      <c r="A6" s="21" t="s">
        <v>18</v>
      </c>
      <c r="B6" s="21" t="s">
        <v>173</v>
      </c>
      <c r="C6" s="36">
        <v>45962</v>
      </c>
      <c r="D6" s="21" t="s">
        <v>137</v>
      </c>
      <c r="E6" s="21" t="s">
        <v>185</v>
      </c>
      <c r="F6" s="21">
        <v>65</v>
      </c>
      <c r="G6" s="37">
        <v>61</v>
      </c>
      <c r="H6" s="37">
        <v>51</v>
      </c>
      <c r="I6" s="37">
        <f>F6-H6</f>
        <v>14</v>
      </c>
      <c r="J6" s="45">
        <f>H6/F6</f>
        <v>0.7846153846153846</v>
      </c>
    </row>
    <row r="7" spans="1:10" x14ac:dyDescent="0.25">
      <c r="A7" s="21" t="s">
        <v>21</v>
      </c>
      <c r="B7" s="21" t="s">
        <v>173</v>
      </c>
      <c r="C7" s="36">
        <v>46111</v>
      </c>
      <c r="D7" s="21" t="s">
        <v>139</v>
      </c>
      <c r="E7" s="21" t="s">
        <v>185</v>
      </c>
      <c r="F7" s="21">
        <v>55</v>
      </c>
      <c r="G7" s="37">
        <f>F7*0.9</f>
        <v>49.5</v>
      </c>
      <c r="H7" s="6">
        <v>38</v>
      </c>
      <c r="I7" s="37">
        <f>F7-H7</f>
        <v>17</v>
      </c>
      <c r="J7" s="45">
        <f>H7/F7</f>
        <v>0.69090909090909092</v>
      </c>
    </row>
    <row r="8" spans="1:10" x14ac:dyDescent="0.25">
      <c r="A8" s="62" t="s">
        <v>81</v>
      </c>
      <c r="B8" s="62"/>
      <c r="C8" s="62"/>
      <c r="D8" s="63"/>
      <c r="E8" s="13"/>
      <c r="F8" s="12">
        <f>SUM(F3:F7)</f>
        <v>290</v>
      </c>
      <c r="G8" s="22">
        <f>SUM(G3:G7)</f>
        <v>265.5</v>
      </c>
      <c r="H8" s="22">
        <f>SUM(H3:H7)</f>
        <v>263</v>
      </c>
      <c r="I8" s="22">
        <f>SUM(I3:I7)</f>
        <v>27</v>
      </c>
      <c r="J8" s="23">
        <f t="shared" ref="J8" si="0">H8/F8</f>
        <v>0.90689655172413797</v>
      </c>
    </row>
  </sheetData>
  <sortState xmlns:xlrd2="http://schemas.microsoft.com/office/spreadsheetml/2017/richdata2" ref="A3:J7">
    <sortCondition descending="1" ref="J3:J7"/>
  </sortState>
  <mergeCells count="2">
    <mergeCell ref="A1:J1"/>
    <mergeCell ref="A8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B7A8-462A-4617-B7AC-C0C3F62EAD7F}">
  <dimension ref="A1:J7"/>
  <sheetViews>
    <sheetView workbookViewId="0">
      <selection activeCell="A8" sqref="A8"/>
    </sheetView>
  </sheetViews>
  <sheetFormatPr defaultRowHeight="15" x14ac:dyDescent="0.25"/>
  <cols>
    <col min="1" max="1" width="19.140625" customWidth="1"/>
    <col min="2" max="3" width="15.85546875" customWidth="1"/>
    <col min="4" max="4" width="30.7109375" customWidth="1"/>
    <col min="5" max="5" width="15.28515625" customWidth="1"/>
    <col min="6" max="6" width="11.85546875" customWidth="1"/>
    <col min="7" max="7" width="10.85546875" customWidth="1"/>
    <col min="8" max="8" width="13.140625" customWidth="1"/>
    <col min="9" max="9" width="13" customWidth="1"/>
    <col min="10" max="10" width="14.28515625" customWidth="1"/>
  </cols>
  <sheetData>
    <row r="1" spans="1:10" ht="15.75" thickBot="1" x14ac:dyDescent="0.3">
      <c r="A1" s="66"/>
      <c r="B1" s="66"/>
      <c r="C1" s="66"/>
      <c r="D1" s="66"/>
      <c r="E1" s="66"/>
      <c r="F1" s="66"/>
      <c r="G1" s="66"/>
      <c r="H1" s="66"/>
      <c r="I1" s="66"/>
      <c r="J1" s="67"/>
    </row>
    <row r="2" spans="1:10" x14ac:dyDescent="0.25">
      <c r="A2" s="15" t="s">
        <v>0</v>
      </c>
      <c r="B2" s="15" t="s">
        <v>172</v>
      </c>
      <c r="C2" s="15" t="s">
        <v>171</v>
      </c>
      <c r="D2" s="15" t="s">
        <v>92</v>
      </c>
      <c r="E2" s="15" t="s">
        <v>184</v>
      </c>
      <c r="F2" s="14" t="s">
        <v>72</v>
      </c>
      <c r="G2" s="16">
        <v>0.9</v>
      </c>
      <c r="H2" s="14" t="s">
        <v>76</v>
      </c>
      <c r="I2" s="14" t="s">
        <v>73</v>
      </c>
      <c r="J2" s="14" t="s">
        <v>77</v>
      </c>
    </row>
    <row r="3" spans="1:10" x14ac:dyDescent="0.25">
      <c r="A3" s="21" t="s">
        <v>150</v>
      </c>
      <c r="B3" s="21" t="s">
        <v>173</v>
      </c>
      <c r="C3" s="36">
        <v>46013</v>
      </c>
      <c r="D3" s="50" t="s">
        <v>152</v>
      </c>
      <c r="E3" s="21" t="s">
        <v>185</v>
      </c>
      <c r="F3" s="21">
        <v>20</v>
      </c>
      <c r="G3" s="21">
        <f>F3*0.9</f>
        <v>18</v>
      </c>
      <c r="H3" s="21">
        <v>14</v>
      </c>
      <c r="I3" s="21">
        <f>F3-H3</f>
        <v>6</v>
      </c>
      <c r="J3" s="38">
        <f>H3/F3</f>
        <v>0.7</v>
      </c>
    </row>
    <row r="4" spans="1:10" ht="25.5" x14ac:dyDescent="0.25">
      <c r="A4" s="21" t="s">
        <v>79</v>
      </c>
      <c r="B4" s="21" t="s">
        <v>173</v>
      </c>
      <c r="C4" s="36">
        <v>46097</v>
      </c>
      <c r="D4" s="52" t="s">
        <v>148</v>
      </c>
      <c r="E4" s="21" t="s">
        <v>185</v>
      </c>
      <c r="F4" s="21">
        <v>25</v>
      </c>
      <c r="G4" s="21">
        <v>20</v>
      </c>
      <c r="H4" s="21">
        <v>14</v>
      </c>
      <c r="I4" s="21">
        <f>F4-H4</f>
        <v>11</v>
      </c>
      <c r="J4" s="38">
        <f>H4/F4</f>
        <v>0.56000000000000005</v>
      </c>
    </row>
    <row r="5" spans="1:10" x14ac:dyDescent="0.25">
      <c r="A5" s="21" t="s">
        <v>80</v>
      </c>
      <c r="B5" s="21" t="s">
        <v>173</v>
      </c>
      <c r="C5" s="36">
        <v>46118</v>
      </c>
      <c r="D5" s="50" t="s">
        <v>149</v>
      </c>
      <c r="E5" s="21" t="s">
        <v>185</v>
      </c>
      <c r="F5" s="21">
        <v>20</v>
      </c>
      <c r="G5" s="21">
        <f>F5*0.9</f>
        <v>18</v>
      </c>
      <c r="H5" s="21">
        <v>10</v>
      </c>
      <c r="I5" s="21">
        <f>F5-H5</f>
        <v>10</v>
      </c>
      <c r="J5" s="38">
        <f>H5/F5</f>
        <v>0.5</v>
      </c>
    </row>
    <row r="6" spans="1:10" x14ac:dyDescent="0.25">
      <c r="A6" s="21" t="s">
        <v>151</v>
      </c>
      <c r="B6" s="21" t="s">
        <v>173</v>
      </c>
      <c r="C6" s="36">
        <v>46128</v>
      </c>
      <c r="D6" s="50" t="s">
        <v>153</v>
      </c>
      <c r="E6" s="21" t="s">
        <v>185</v>
      </c>
      <c r="F6" s="21">
        <v>20</v>
      </c>
      <c r="G6" s="21">
        <f>F6*0.9</f>
        <v>18</v>
      </c>
      <c r="H6" s="21">
        <v>8</v>
      </c>
      <c r="I6" s="21">
        <f>F6-H6</f>
        <v>12</v>
      </c>
      <c r="J6" s="47">
        <f>H6/F6</f>
        <v>0.4</v>
      </c>
    </row>
    <row r="7" spans="1:10" x14ac:dyDescent="0.25">
      <c r="A7" s="62" t="s">
        <v>81</v>
      </c>
      <c r="B7" s="62"/>
      <c r="C7" s="62"/>
      <c r="D7" s="63"/>
      <c r="E7" s="13"/>
      <c r="F7" s="12">
        <f>SUM(F3:F6)</f>
        <v>85</v>
      </c>
      <c r="G7" s="22">
        <f>SUM(G3:G6)</f>
        <v>74</v>
      </c>
      <c r="H7" s="12">
        <f>SUM(H3:H6)</f>
        <v>46</v>
      </c>
      <c r="I7" s="12">
        <f>SUM(I3:I6)</f>
        <v>39</v>
      </c>
      <c r="J7" s="23">
        <f>H7/F7</f>
        <v>0.54117647058823526</v>
      </c>
    </row>
  </sheetData>
  <sortState xmlns:xlrd2="http://schemas.microsoft.com/office/spreadsheetml/2017/richdata2" ref="A3:J6">
    <sortCondition descending="1" ref="J3:J6"/>
  </sortState>
  <mergeCells count="2">
    <mergeCell ref="A1:J1"/>
    <mergeCell ref="A7:D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A7AB-81F6-4E1A-8D79-FF08231944A5}">
  <dimension ref="A1:J26"/>
  <sheetViews>
    <sheetView tabSelected="1" topLeftCell="B18" workbookViewId="0">
      <selection activeCell="F18" sqref="F18:I18"/>
    </sheetView>
  </sheetViews>
  <sheetFormatPr defaultRowHeight="15" x14ac:dyDescent="0.25"/>
  <cols>
    <col min="1" max="1" width="19.85546875" customWidth="1"/>
    <col min="2" max="3" width="15.28515625" customWidth="1"/>
    <col min="4" max="5" width="30.140625" customWidth="1"/>
    <col min="6" max="6" width="13.28515625" customWidth="1"/>
    <col min="7" max="7" width="12.140625" customWidth="1"/>
    <col min="8" max="8" width="15" customWidth="1"/>
    <col min="9" max="9" width="13.28515625" customWidth="1"/>
    <col min="10" max="10" width="15.5703125" customWidth="1"/>
  </cols>
  <sheetData>
    <row r="1" spans="1:10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</row>
    <row r="2" spans="1:10" x14ac:dyDescent="0.25">
      <c r="A2" s="24" t="s">
        <v>0</v>
      </c>
      <c r="B2" s="15" t="s">
        <v>172</v>
      </c>
      <c r="C2" s="24" t="s">
        <v>171</v>
      </c>
      <c r="D2" s="24" t="s">
        <v>92</v>
      </c>
      <c r="E2" s="24" t="s">
        <v>183</v>
      </c>
      <c r="F2" s="12" t="s">
        <v>72</v>
      </c>
      <c r="G2" s="25">
        <v>0.9</v>
      </c>
      <c r="H2" s="12" t="s">
        <v>76</v>
      </c>
      <c r="I2" s="12" t="s">
        <v>73</v>
      </c>
      <c r="J2" s="12" t="s">
        <v>77</v>
      </c>
    </row>
    <row r="3" spans="1:10" x14ac:dyDescent="0.25">
      <c r="A3" s="21" t="s">
        <v>70</v>
      </c>
      <c r="B3" s="21" t="s">
        <v>174</v>
      </c>
      <c r="C3" s="36">
        <v>46155</v>
      </c>
      <c r="D3" s="50" t="s">
        <v>168</v>
      </c>
      <c r="E3" s="21" t="s">
        <v>185</v>
      </c>
      <c r="F3" s="21">
        <v>40</v>
      </c>
      <c r="G3" s="21">
        <f t="shared" ref="G3:G21" si="0">F3-5</f>
        <v>35</v>
      </c>
      <c r="H3" s="21">
        <v>51</v>
      </c>
      <c r="I3" s="21">
        <f t="shared" ref="I3:I23" si="1">F3-H3</f>
        <v>-11</v>
      </c>
      <c r="J3" s="46">
        <f t="shared" ref="J3:J23" si="2">H3/F3</f>
        <v>1.2749999999999999</v>
      </c>
    </row>
    <row r="4" spans="1:10" x14ac:dyDescent="0.25">
      <c r="A4" s="17" t="s">
        <v>64</v>
      </c>
      <c r="B4" s="17" t="s">
        <v>173</v>
      </c>
      <c r="C4" s="18">
        <v>45705</v>
      </c>
      <c r="D4" s="49" t="s">
        <v>154</v>
      </c>
      <c r="E4" s="21" t="s">
        <v>185</v>
      </c>
      <c r="F4" s="21">
        <v>40</v>
      </c>
      <c r="G4" s="21">
        <f t="shared" si="0"/>
        <v>35</v>
      </c>
      <c r="H4" s="21">
        <v>50</v>
      </c>
      <c r="I4" s="21">
        <f t="shared" si="1"/>
        <v>-10</v>
      </c>
      <c r="J4" s="31">
        <f t="shared" si="2"/>
        <v>1.25</v>
      </c>
    </row>
    <row r="5" spans="1:10" x14ac:dyDescent="0.25">
      <c r="A5" s="21" t="s">
        <v>74</v>
      </c>
      <c r="B5" s="21" t="s">
        <v>173</v>
      </c>
      <c r="C5" s="36">
        <v>46162</v>
      </c>
      <c r="D5" s="50" t="s">
        <v>78</v>
      </c>
      <c r="E5" s="21" t="s">
        <v>78</v>
      </c>
      <c r="F5" s="21">
        <v>35</v>
      </c>
      <c r="G5" s="21">
        <f t="shared" si="0"/>
        <v>30</v>
      </c>
      <c r="H5" s="21">
        <v>40</v>
      </c>
      <c r="I5" s="21">
        <f t="shared" si="1"/>
        <v>-5</v>
      </c>
      <c r="J5" s="46">
        <f t="shared" si="2"/>
        <v>1.1428571428571428</v>
      </c>
    </row>
    <row r="6" spans="1:10" x14ac:dyDescent="0.25">
      <c r="A6" s="21" t="s">
        <v>75</v>
      </c>
      <c r="B6" s="21" t="s">
        <v>173</v>
      </c>
      <c r="C6" s="36">
        <v>46167</v>
      </c>
      <c r="D6" s="50" t="s">
        <v>78</v>
      </c>
      <c r="E6" s="21" t="s">
        <v>78</v>
      </c>
      <c r="F6" s="21">
        <v>35</v>
      </c>
      <c r="G6" s="21">
        <f t="shared" si="0"/>
        <v>30</v>
      </c>
      <c r="H6" s="21">
        <v>37</v>
      </c>
      <c r="I6" s="21">
        <f t="shared" si="1"/>
        <v>-2</v>
      </c>
      <c r="J6" s="46">
        <f t="shared" si="2"/>
        <v>1.0571428571428572</v>
      </c>
    </row>
    <row r="7" spans="1:10" x14ac:dyDescent="0.25">
      <c r="A7" s="21" t="s">
        <v>67</v>
      </c>
      <c r="B7" s="21" t="s">
        <v>173</v>
      </c>
      <c r="C7" s="36">
        <v>46147</v>
      </c>
      <c r="D7" s="50" t="s">
        <v>165</v>
      </c>
      <c r="E7" s="21" t="s">
        <v>185</v>
      </c>
      <c r="F7" s="21">
        <v>40</v>
      </c>
      <c r="G7" s="21">
        <f t="shared" si="0"/>
        <v>35</v>
      </c>
      <c r="H7" s="21">
        <v>42</v>
      </c>
      <c r="I7" s="21">
        <f t="shared" si="1"/>
        <v>-2</v>
      </c>
      <c r="J7" s="46">
        <f t="shared" si="2"/>
        <v>1.05</v>
      </c>
    </row>
    <row r="8" spans="1:10" x14ac:dyDescent="0.25">
      <c r="A8" s="21" t="s">
        <v>45</v>
      </c>
      <c r="B8" s="21" t="s">
        <v>174</v>
      </c>
      <c r="C8" s="36">
        <v>46112</v>
      </c>
      <c r="D8" s="50" t="s">
        <v>162</v>
      </c>
      <c r="E8" s="21" t="s">
        <v>185</v>
      </c>
      <c r="F8" s="21">
        <v>40</v>
      </c>
      <c r="G8" s="21">
        <f t="shared" si="0"/>
        <v>35</v>
      </c>
      <c r="H8" s="21">
        <v>40</v>
      </c>
      <c r="I8" s="21">
        <f t="shared" si="1"/>
        <v>0</v>
      </c>
      <c r="J8" s="46">
        <f t="shared" si="2"/>
        <v>1</v>
      </c>
    </row>
    <row r="9" spans="1:10" x14ac:dyDescent="0.25">
      <c r="A9" s="17" t="s">
        <v>5</v>
      </c>
      <c r="B9" s="17" t="s">
        <v>173</v>
      </c>
      <c r="C9" s="18">
        <v>46020</v>
      </c>
      <c r="D9" s="49" t="s">
        <v>156</v>
      </c>
      <c r="E9" s="21" t="s">
        <v>185</v>
      </c>
      <c r="F9" s="21">
        <v>40</v>
      </c>
      <c r="G9" s="21">
        <f t="shared" si="0"/>
        <v>35</v>
      </c>
      <c r="H9" s="21">
        <v>40</v>
      </c>
      <c r="I9" s="21">
        <f t="shared" si="1"/>
        <v>0</v>
      </c>
      <c r="J9" s="31">
        <f t="shared" si="2"/>
        <v>1</v>
      </c>
    </row>
    <row r="10" spans="1:10" x14ac:dyDescent="0.25">
      <c r="A10" s="17" t="s">
        <v>46</v>
      </c>
      <c r="B10" s="17" t="s">
        <v>173</v>
      </c>
      <c r="C10" s="18">
        <v>46125</v>
      </c>
      <c r="D10" s="49" t="s">
        <v>163</v>
      </c>
      <c r="E10" s="21" t="s">
        <v>185</v>
      </c>
      <c r="F10" s="21">
        <v>40</v>
      </c>
      <c r="G10" s="21">
        <f t="shared" si="0"/>
        <v>35</v>
      </c>
      <c r="H10" s="21">
        <v>40</v>
      </c>
      <c r="I10" s="21">
        <f t="shared" si="1"/>
        <v>0</v>
      </c>
      <c r="J10" s="31">
        <f t="shared" si="2"/>
        <v>1</v>
      </c>
    </row>
    <row r="11" spans="1:10" x14ac:dyDescent="0.25">
      <c r="A11" s="21" t="s">
        <v>66</v>
      </c>
      <c r="B11" s="21" t="s">
        <v>174</v>
      </c>
      <c r="C11" s="36">
        <v>46140</v>
      </c>
      <c r="D11" s="50" t="s">
        <v>164</v>
      </c>
      <c r="E11" s="21" t="s">
        <v>185</v>
      </c>
      <c r="F11" s="21">
        <v>40</v>
      </c>
      <c r="G11" s="21">
        <f t="shared" si="0"/>
        <v>35</v>
      </c>
      <c r="H11" s="21">
        <v>38</v>
      </c>
      <c r="I11" s="21">
        <f t="shared" si="1"/>
        <v>2</v>
      </c>
      <c r="J11" s="46">
        <f t="shared" si="2"/>
        <v>0.95</v>
      </c>
    </row>
    <row r="12" spans="1:10" x14ac:dyDescent="0.25">
      <c r="A12" s="21" t="s">
        <v>169</v>
      </c>
      <c r="B12" s="21" t="s">
        <v>173</v>
      </c>
      <c r="C12" s="36">
        <v>46055</v>
      </c>
      <c r="D12" s="50" t="s">
        <v>170</v>
      </c>
      <c r="E12" s="21" t="s">
        <v>185</v>
      </c>
      <c r="F12" s="21">
        <v>50</v>
      </c>
      <c r="G12" s="21">
        <f t="shared" si="0"/>
        <v>45</v>
      </c>
      <c r="H12" s="21">
        <v>44</v>
      </c>
      <c r="I12" s="21">
        <f t="shared" si="1"/>
        <v>6</v>
      </c>
      <c r="J12" s="46">
        <f t="shared" si="2"/>
        <v>0.88</v>
      </c>
    </row>
    <row r="13" spans="1:10" x14ac:dyDescent="0.25">
      <c r="A13" s="17" t="s">
        <v>29</v>
      </c>
      <c r="B13" s="17" t="s">
        <v>173</v>
      </c>
      <c r="C13" s="18">
        <v>46090</v>
      </c>
      <c r="D13" s="49" t="s">
        <v>159</v>
      </c>
      <c r="E13" s="21" t="s">
        <v>185</v>
      </c>
      <c r="F13" s="21">
        <v>40</v>
      </c>
      <c r="G13" s="21">
        <f t="shared" si="0"/>
        <v>35</v>
      </c>
      <c r="H13" s="21">
        <v>35</v>
      </c>
      <c r="I13" s="21">
        <f t="shared" si="1"/>
        <v>5</v>
      </c>
      <c r="J13" s="31">
        <f t="shared" si="2"/>
        <v>0.875</v>
      </c>
    </row>
    <row r="14" spans="1:10" x14ac:dyDescent="0.25">
      <c r="A14" s="21" t="s">
        <v>28</v>
      </c>
      <c r="B14" s="21" t="s">
        <v>173</v>
      </c>
      <c r="C14" s="36">
        <v>46090</v>
      </c>
      <c r="D14" s="50" t="s">
        <v>158</v>
      </c>
      <c r="E14" s="21" t="s">
        <v>185</v>
      </c>
      <c r="F14" s="21">
        <v>40</v>
      </c>
      <c r="G14" s="21">
        <f t="shared" si="0"/>
        <v>35</v>
      </c>
      <c r="H14" s="21">
        <v>29</v>
      </c>
      <c r="I14" s="21">
        <f t="shared" si="1"/>
        <v>11</v>
      </c>
      <c r="J14" s="46">
        <f t="shared" si="2"/>
        <v>0.72499999999999998</v>
      </c>
    </row>
    <row r="15" spans="1:10" x14ac:dyDescent="0.25">
      <c r="A15" s="21" t="s">
        <v>47</v>
      </c>
      <c r="B15" s="21" t="s">
        <v>174</v>
      </c>
      <c r="C15" s="36">
        <v>46111</v>
      </c>
      <c r="D15" s="50" t="s">
        <v>161</v>
      </c>
      <c r="E15" s="21" t="s">
        <v>185</v>
      </c>
      <c r="F15" s="21">
        <v>40</v>
      </c>
      <c r="G15" s="21">
        <f t="shared" si="0"/>
        <v>35</v>
      </c>
      <c r="H15" s="21">
        <v>32</v>
      </c>
      <c r="I15" s="21">
        <f t="shared" si="1"/>
        <v>8</v>
      </c>
      <c r="J15" s="46">
        <f t="shared" si="2"/>
        <v>0.8</v>
      </c>
    </row>
    <row r="16" spans="1:10" x14ac:dyDescent="0.25">
      <c r="A16" s="21" t="s">
        <v>65</v>
      </c>
      <c r="B16" s="21" t="s">
        <v>173</v>
      </c>
      <c r="C16" s="36">
        <v>46099</v>
      </c>
      <c r="D16" s="50" t="s">
        <v>160</v>
      </c>
      <c r="E16" s="21" t="s">
        <v>185</v>
      </c>
      <c r="F16" s="21">
        <v>40</v>
      </c>
      <c r="G16" s="21">
        <f t="shared" si="0"/>
        <v>35</v>
      </c>
      <c r="H16" s="21">
        <v>26</v>
      </c>
      <c r="I16" s="21">
        <f t="shared" si="1"/>
        <v>14</v>
      </c>
      <c r="J16" s="46">
        <f t="shared" si="2"/>
        <v>0.65</v>
      </c>
    </row>
    <row r="17" spans="1:10" x14ac:dyDescent="0.25">
      <c r="A17" s="21" t="s">
        <v>27</v>
      </c>
      <c r="B17" s="21" t="s">
        <v>173</v>
      </c>
      <c r="C17" s="36">
        <v>46080</v>
      </c>
      <c r="D17" s="50" t="s">
        <v>157</v>
      </c>
      <c r="E17" s="21" t="s">
        <v>185</v>
      </c>
      <c r="F17" s="21">
        <v>40</v>
      </c>
      <c r="G17" s="21">
        <f t="shared" si="0"/>
        <v>35</v>
      </c>
      <c r="H17" s="21">
        <v>21</v>
      </c>
      <c r="I17" s="21">
        <f t="shared" si="1"/>
        <v>19</v>
      </c>
      <c r="J17" s="46">
        <f t="shared" si="2"/>
        <v>0.52500000000000002</v>
      </c>
    </row>
    <row r="18" spans="1:10" x14ac:dyDescent="0.25">
      <c r="A18" s="21" t="s">
        <v>68</v>
      </c>
      <c r="B18" s="21" t="s">
        <v>173</v>
      </c>
      <c r="C18" s="36">
        <v>46147</v>
      </c>
      <c r="D18" s="50" t="s">
        <v>166</v>
      </c>
      <c r="E18" s="21" t="s">
        <v>185</v>
      </c>
      <c r="F18" s="21">
        <v>40</v>
      </c>
      <c r="G18" s="21">
        <f t="shared" si="0"/>
        <v>35</v>
      </c>
      <c r="H18" s="21">
        <v>20</v>
      </c>
      <c r="I18" s="21">
        <f t="shared" si="1"/>
        <v>20</v>
      </c>
      <c r="J18" s="46">
        <f t="shared" si="2"/>
        <v>0.5</v>
      </c>
    </row>
    <row r="19" spans="1:10" x14ac:dyDescent="0.25">
      <c r="A19" s="21" t="s">
        <v>49</v>
      </c>
      <c r="B19" s="21" t="s">
        <v>173</v>
      </c>
      <c r="C19" s="36">
        <v>46126</v>
      </c>
      <c r="D19" s="51" t="s">
        <v>125</v>
      </c>
      <c r="E19" s="21" t="s">
        <v>185</v>
      </c>
      <c r="F19" s="21">
        <v>30</v>
      </c>
      <c r="G19" s="21">
        <f t="shared" si="0"/>
        <v>25</v>
      </c>
      <c r="H19" s="21">
        <v>14</v>
      </c>
      <c r="I19" s="21">
        <f t="shared" si="1"/>
        <v>16</v>
      </c>
      <c r="J19" s="46">
        <f t="shared" si="2"/>
        <v>0.46666666666666667</v>
      </c>
    </row>
    <row r="20" spans="1:10" x14ac:dyDescent="0.25">
      <c r="A20" s="21" t="s">
        <v>26</v>
      </c>
      <c r="B20" s="21" t="s">
        <v>173</v>
      </c>
      <c r="C20" s="36">
        <v>46013</v>
      </c>
      <c r="D20" s="50" t="s">
        <v>155</v>
      </c>
      <c r="E20" s="21" t="s">
        <v>185</v>
      </c>
      <c r="F20" s="21">
        <v>40</v>
      </c>
      <c r="G20" s="21">
        <f t="shared" si="0"/>
        <v>35</v>
      </c>
      <c r="H20" s="21">
        <v>16</v>
      </c>
      <c r="I20" s="21">
        <f t="shared" si="1"/>
        <v>24</v>
      </c>
      <c r="J20" s="46">
        <f t="shared" si="2"/>
        <v>0.4</v>
      </c>
    </row>
    <row r="21" spans="1:10" x14ac:dyDescent="0.25">
      <c r="A21" s="21" t="s">
        <v>69</v>
      </c>
      <c r="B21" s="21" t="s">
        <v>173</v>
      </c>
      <c r="C21" s="36">
        <v>46147</v>
      </c>
      <c r="D21" s="50" t="s">
        <v>167</v>
      </c>
      <c r="E21" s="21" t="s">
        <v>185</v>
      </c>
      <c r="F21" s="21">
        <v>40</v>
      </c>
      <c r="G21" s="21">
        <f t="shared" si="0"/>
        <v>35</v>
      </c>
      <c r="H21" s="21">
        <v>13</v>
      </c>
      <c r="I21" s="21">
        <f t="shared" si="1"/>
        <v>27</v>
      </c>
      <c r="J21" s="46">
        <f t="shared" si="2"/>
        <v>0.32500000000000001</v>
      </c>
    </row>
    <row r="22" spans="1:10" x14ac:dyDescent="0.25">
      <c r="A22" s="21" t="s">
        <v>175</v>
      </c>
      <c r="B22" s="21" t="s">
        <v>173</v>
      </c>
      <c r="C22" s="36">
        <v>46141</v>
      </c>
      <c r="D22" s="51" t="s">
        <v>176</v>
      </c>
      <c r="E22" s="21" t="s">
        <v>185</v>
      </c>
      <c r="F22" s="21">
        <v>35</v>
      </c>
      <c r="G22" s="21">
        <v>30</v>
      </c>
      <c r="H22" s="21">
        <v>10</v>
      </c>
      <c r="I22" s="21">
        <f t="shared" si="1"/>
        <v>25</v>
      </c>
      <c r="J22" s="46">
        <f t="shared" si="2"/>
        <v>0.2857142857142857</v>
      </c>
    </row>
    <row r="23" spans="1:10" x14ac:dyDescent="0.25">
      <c r="A23" s="21" t="s">
        <v>177</v>
      </c>
      <c r="B23" s="21" t="s">
        <v>173</v>
      </c>
      <c r="C23" s="36">
        <v>46147</v>
      </c>
      <c r="D23" s="51" t="s">
        <v>178</v>
      </c>
      <c r="E23" s="21" t="s">
        <v>185</v>
      </c>
      <c r="F23" s="21">
        <v>30</v>
      </c>
      <c r="G23" s="21">
        <v>27</v>
      </c>
      <c r="H23" s="21">
        <v>7</v>
      </c>
      <c r="I23" s="21">
        <f t="shared" si="1"/>
        <v>23</v>
      </c>
      <c r="J23" s="48">
        <f t="shared" si="2"/>
        <v>0.23333333333333334</v>
      </c>
    </row>
    <row r="24" spans="1:10" x14ac:dyDescent="0.25">
      <c r="A24" s="17" t="s">
        <v>182</v>
      </c>
      <c r="B24" s="17" t="s">
        <v>173</v>
      </c>
      <c r="C24" s="18">
        <v>46175</v>
      </c>
      <c r="D24" s="17"/>
      <c r="E24" s="17"/>
      <c r="F24" s="21" t="s">
        <v>186</v>
      </c>
      <c r="G24" s="21" t="s">
        <v>186</v>
      </c>
      <c r="H24" s="21">
        <v>17</v>
      </c>
      <c r="I24" s="21" t="s">
        <v>186</v>
      </c>
      <c r="J24" s="31" t="s">
        <v>186</v>
      </c>
    </row>
    <row r="25" spans="1:10" x14ac:dyDescent="0.25">
      <c r="A25" s="32" t="s">
        <v>179</v>
      </c>
      <c r="B25" s="32" t="s">
        <v>173</v>
      </c>
      <c r="C25" s="34">
        <v>46153</v>
      </c>
      <c r="D25" s="35" t="s">
        <v>180</v>
      </c>
      <c r="E25" s="35"/>
      <c r="F25" s="32" t="s">
        <v>186</v>
      </c>
      <c r="G25" s="32" t="s">
        <v>186</v>
      </c>
      <c r="H25" s="32">
        <v>9</v>
      </c>
      <c r="I25" s="32" t="s">
        <v>186</v>
      </c>
      <c r="J25" s="33" t="s">
        <v>186</v>
      </c>
    </row>
    <row r="26" spans="1:10" x14ac:dyDescent="0.25">
      <c r="A26" s="54" t="s">
        <v>81</v>
      </c>
      <c r="B26" s="54"/>
      <c r="C26" s="54"/>
      <c r="D26" s="54"/>
      <c r="E26" s="12"/>
      <c r="F26" s="2">
        <f>SUM(F3:F23)</f>
        <v>815</v>
      </c>
      <c r="G26" s="3">
        <f>SUM(G3:G21)</f>
        <v>655</v>
      </c>
      <c r="H26" s="3">
        <f>SUM(H3:H25)</f>
        <v>671</v>
      </c>
      <c r="I26" s="2">
        <f>SUM(I3:I23)</f>
        <v>170</v>
      </c>
      <c r="J26" s="4">
        <f>H26/F26</f>
        <v>0.82331288343558284</v>
      </c>
    </row>
  </sheetData>
  <sortState xmlns:xlrd2="http://schemas.microsoft.com/office/spreadsheetml/2017/richdata2" ref="A3:J23">
    <sortCondition descending="1" ref="J3:J23"/>
  </sortState>
  <mergeCells count="2">
    <mergeCell ref="A1:J1"/>
    <mergeCell ref="A26:D26"/>
  </mergeCells>
  <hyperlinks>
    <hyperlink ref="D22" r:id="rId1" xr:uid="{64D661E3-F788-4034-BB31-636A7FB7361E}"/>
    <hyperlink ref="D23" r:id="rId2" xr:uid="{AEE1B997-BD16-4E34-8604-7AA328EA3FD2}"/>
    <hyperlink ref="D25" r:id="rId3" xr:uid="{8A403D85-9A84-4783-8E13-B87F6B4C3199}"/>
    <hyperlink ref="D19" r:id="rId4" xr:uid="{DF955B54-0D5E-4D30-AA76-09C3D4B9C2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Engineering</vt:lpstr>
      <vt:lpstr>Management </vt:lpstr>
      <vt:lpstr>Media</vt:lpstr>
      <vt:lpstr>Law</vt:lpstr>
      <vt:lpstr>Design</vt:lpstr>
      <vt:lpstr>Inbound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Kapoor</dc:creator>
  <cp:lastModifiedBy>Ishan Kapoor</cp:lastModifiedBy>
  <dcterms:created xsi:type="dcterms:W3CDTF">2026-04-16T17:53:28Z</dcterms:created>
  <dcterms:modified xsi:type="dcterms:W3CDTF">2026-08-03T04:28:58Z</dcterms:modified>
</cp:coreProperties>
</file>