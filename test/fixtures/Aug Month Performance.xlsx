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shan_kapoor_shikshavijay_com/Documents/Desktop/Performance Report/"/>
    </mc:Choice>
  </mc:AlternateContent>
  <xr:revisionPtr revIDLastSave="469" documentId="8_{1E6093AE-A216-4AAC-903F-3ACECA9E615C}" xr6:coauthVersionLast="47" xr6:coauthVersionMax="47" xr10:uidLastSave="{D487AA89-82FC-4FB8-A619-D1FAA815C6A8}"/>
  <bookViews>
    <workbookView xWindow="-120" yWindow="-120" windowWidth="19440" windowHeight="10440" activeTab="1" xr2:uid="{00000000-000D-0000-FFFF-FFFF00000000}"/>
  </bookViews>
  <sheets>
    <sheet name="Overall " sheetId="1" r:id="rId1"/>
    <sheet name="Engineering" sheetId="2" r:id="rId2"/>
    <sheet name="Management" sheetId="5" r:id="rId3"/>
    <sheet name="Law" sheetId="4" r:id="rId4"/>
    <sheet name="Liberal Arts" sheetId="6" r:id="rId5"/>
    <sheet name="Design" sheetId="7" r:id="rId6"/>
    <sheet name="Inbound" sheetId="3" r:id="rId7"/>
  </sheets>
  <externalReferences>
    <externalReference r:id="rId8"/>
  </externalReferences>
  <definedNames>
    <definedName name="_xlnm._FilterDatabase" localSheetId="1" hidden="1">Engineering!$A$2:$K$25</definedName>
    <definedName name="_xlnm._FilterDatabase" localSheetId="6" hidden="1">Inbound!$A$2:$K$20</definedName>
    <definedName name="_xlnm._FilterDatabase" localSheetId="0" hidden="1">'Overall '!$A$2:$K$66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" l="1"/>
  <c r="G66" i="1"/>
  <c r="J65" i="1"/>
  <c r="K65" i="1"/>
  <c r="H20" i="3"/>
  <c r="G20" i="3"/>
  <c r="N10" i="1" s="1"/>
  <c r="J19" i="3"/>
  <c r="J20" i="3" s="1"/>
  <c r="K19" i="3"/>
  <c r="H30" i="2"/>
  <c r="G30" i="2"/>
  <c r="K30" i="2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3" i="3"/>
  <c r="K4" i="7"/>
  <c r="K5" i="7"/>
  <c r="K3" i="7"/>
  <c r="K4" i="6"/>
  <c r="K5" i="6"/>
  <c r="K6" i="6"/>
  <c r="K3" i="6"/>
  <c r="K4" i="4"/>
  <c r="K3" i="4"/>
  <c r="K4" i="5"/>
  <c r="K5" i="5"/>
  <c r="K6" i="5"/>
  <c r="K7" i="5"/>
  <c r="K8" i="5"/>
  <c r="K9" i="5"/>
  <c r="K10" i="5"/>
  <c r="K11" i="5"/>
  <c r="K12" i="5"/>
  <c r="K3" i="5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3" i="1"/>
  <c r="I66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D44" i="1"/>
  <c r="C44" i="1"/>
  <c r="J43" i="1"/>
  <c r="D43" i="1"/>
  <c r="C43" i="1"/>
  <c r="J42" i="1"/>
  <c r="D42" i="1"/>
  <c r="C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N6" i="1"/>
  <c r="N9" i="1"/>
  <c r="J6" i="7"/>
  <c r="H6" i="7"/>
  <c r="G6" i="7"/>
  <c r="H7" i="6"/>
  <c r="G7" i="6"/>
  <c r="N8" i="1" s="1"/>
  <c r="H13" i="5"/>
  <c r="G13" i="5"/>
  <c r="J27" i="2"/>
  <c r="J28" i="2"/>
  <c r="J29" i="2"/>
  <c r="J26" i="2"/>
  <c r="J5" i="7"/>
  <c r="J6" i="6"/>
  <c r="J66" i="1" l="1"/>
  <c r="N5" i="1"/>
  <c r="K66" i="1"/>
  <c r="D4" i="6"/>
  <c r="D5" i="6"/>
  <c r="D3" i="6"/>
  <c r="C4" i="6"/>
  <c r="C5" i="6"/>
  <c r="C3" i="6"/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3" i="3"/>
  <c r="J4" i="7"/>
  <c r="J3" i="7"/>
  <c r="J4" i="6"/>
  <c r="J5" i="6"/>
  <c r="J3" i="6"/>
  <c r="J7" i="6" s="1"/>
  <c r="J4" i="4"/>
  <c r="J3" i="4"/>
  <c r="J4" i="5"/>
  <c r="J5" i="5"/>
  <c r="J13" i="5" s="1"/>
  <c r="J6" i="5"/>
  <c r="J7" i="5"/>
  <c r="J8" i="5"/>
  <c r="J9" i="5"/>
  <c r="J10" i="5"/>
  <c r="J11" i="5"/>
  <c r="J12" i="5"/>
  <c r="J3" i="5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3" i="2"/>
  <c r="J30" i="2" l="1"/>
  <c r="I6" i="7"/>
  <c r="O9" i="1"/>
  <c r="I7" i="6"/>
  <c r="O8" i="1"/>
  <c r="I20" i="3"/>
  <c r="O10" i="1"/>
  <c r="J5" i="4"/>
  <c r="I5" i="4"/>
  <c r="H5" i="4"/>
  <c r="O7" i="1" s="1"/>
  <c r="G5" i="4"/>
  <c r="N7" i="1" s="1"/>
  <c r="N11" i="1" s="1"/>
  <c r="I13" i="5"/>
  <c r="O6" i="1"/>
  <c r="I30" i="2"/>
  <c r="O5" i="1"/>
  <c r="K6" i="7" l="1"/>
  <c r="K7" i="6"/>
  <c r="K5" i="4"/>
  <c r="K13" i="5"/>
  <c r="O11" i="1"/>
  <c r="K20" i="3"/>
</calcChain>
</file>

<file path=xl/sharedStrings.xml><?xml version="1.0" encoding="utf-8"?>
<sst xmlns="http://schemas.openxmlformats.org/spreadsheetml/2006/main" count="599" uniqueCount="156">
  <si>
    <t>Counsellor Name</t>
  </si>
  <si>
    <t>Overall</t>
  </si>
  <si>
    <t>Non-Negotiable</t>
  </si>
  <si>
    <t>Achieved</t>
  </si>
  <si>
    <t>Pending</t>
  </si>
  <si>
    <t>% Achieved</t>
  </si>
  <si>
    <t>Abhinav Kumar</t>
  </si>
  <si>
    <t>Abhishek Kumar Singh</t>
  </si>
  <si>
    <t>Akshat Sharma</t>
  </si>
  <si>
    <t>Amrit Raj Verma</t>
  </si>
  <si>
    <t>Arvind Kumar</t>
  </si>
  <si>
    <t>Bashar Nasir</t>
  </si>
  <si>
    <t>Bhumika Kohli</t>
  </si>
  <si>
    <t>Debjani Saha</t>
  </si>
  <si>
    <t>Deepali Yadav</t>
  </si>
  <si>
    <t>Deepanshi Sharma</t>
  </si>
  <si>
    <t>Hemant Singh</t>
  </si>
  <si>
    <t>Ishika Singh</t>
  </si>
  <si>
    <t>Md.Arshad Hussain</t>
  </si>
  <si>
    <t>Mihir Kumar</t>
  </si>
  <si>
    <t>Mishika Jindal</t>
  </si>
  <si>
    <t>Nidhi Khandelwal</t>
  </si>
  <si>
    <t>Nikhil Pal</t>
  </si>
  <si>
    <t>Palki Mittal</t>
  </si>
  <si>
    <t>Prajukta Kashyap</t>
  </si>
  <si>
    <t>Ritika Dakolia</t>
  </si>
  <si>
    <t>Ritu Raj</t>
  </si>
  <si>
    <t>Roshan Kumar Singh</t>
  </si>
  <si>
    <t>Sakshi Singh</t>
  </si>
  <si>
    <t>Sanjana Pal</t>
  </si>
  <si>
    <t>Sanjay Rawat</t>
  </si>
  <si>
    <t>Shalini Panjiyar</t>
  </si>
  <si>
    <t>Shivansh Tyagi</t>
  </si>
  <si>
    <t>Shraddha Sharma</t>
  </si>
  <si>
    <t>Shweta Gupta</t>
  </si>
  <si>
    <t>Sneha Kumari</t>
  </si>
  <si>
    <t>Supriya Singh</t>
  </si>
  <si>
    <t>Surbhi Yadav</t>
  </si>
  <si>
    <t>Swati Shandaliya</t>
  </si>
  <si>
    <t>Taniya Adhikari</t>
  </si>
  <si>
    <t>Tanushree Baisala</t>
  </si>
  <si>
    <t>Tanya Yadav</t>
  </si>
  <si>
    <t>Vikas Pal</t>
  </si>
  <si>
    <t>Vishwadeep Saxena</t>
  </si>
  <si>
    <t>Adiba Farid</t>
  </si>
  <si>
    <t>Agrim Chaudhary</t>
  </si>
  <si>
    <t>Akanksha Sengar</t>
  </si>
  <si>
    <t>Ankita Yadav</t>
  </si>
  <si>
    <t>Anshika Garg</t>
  </si>
  <si>
    <t>Bhoomi Kanujiya</t>
  </si>
  <si>
    <t>Deepali Gupta</t>
  </si>
  <si>
    <t>Harsh Vardhan</t>
  </si>
  <si>
    <t>Safiya Farheen</t>
  </si>
  <si>
    <t>Sakaar Srivastava</t>
  </si>
  <si>
    <t>Shalini Kumari</t>
  </si>
  <si>
    <t>Sneha Gupta</t>
  </si>
  <si>
    <t>Sukriti Shukla</t>
  </si>
  <si>
    <t>Yash Chaudhary</t>
  </si>
  <si>
    <t>Karnika Sharma</t>
  </si>
  <si>
    <t>Sumitra Bharti</t>
  </si>
  <si>
    <t>Grand Total</t>
  </si>
  <si>
    <t>Team Name</t>
  </si>
  <si>
    <t>Management</t>
  </si>
  <si>
    <t>Engineering</t>
  </si>
  <si>
    <t>Law</t>
  </si>
  <si>
    <t>Design</t>
  </si>
  <si>
    <t>Media/Liberal Arts</t>
  </si>
  <si>
    <t>Inbound</t>
  </si>
  <si>
    <t>S.No</t>
  </si>
  <si>
    <t xml:space="preserve">Overall </t>
  </si>
  <si>
    <t>Media &amp; Liberal Arts</t>
  </si>
  <si>
    <t>Pallavi Singh</t>
  </si>
  <si>
    <t>Aug Month Targets</t>
  </si>
  <si>
    <t>August Month Management Team_Performance Report</t>
  </si>
  <si>
    <t>August Month Media/Liberal Arts Team_Performance Report</t>
  </si>
  <si>
    <t>August Month Inbound Team Performance Report</t>
  </si>
  <si>
    <t>August Month Engineering Team Performance Report</t>
  </si>
  <si>
    <t>August Month Law Team Performance Report</t>
  </si>
  <si>
    <t>Agency Name</t>
  </si>
  <si>
    <t>DOJ</t>
  </si>
  <si>
    <t>Email ID</t>
  </si>
  <si>
    <t>SKS Enterprises</t>
  </si>
  <si>
    <t>AM2PM</t>
  </si>
  <si>
    <t>c-abhishek.singh@bennett.edu.in</t>
  </si>
  <si>
    <t>c-akshat.sharma@bennett.edu.in</t>
  </si>
  <si>
    <t>c-amrit.verma@bennett.edu.in</t>
  </si>
  <si>
    <t>c-deepali.yadav@bennett.edu.in</t>
  </si>
  <si>
    <t>c-ishika.singh@bennett.edu.in</t>
  </si>
  <si>
    <t>c-arshad.hussain@bennett.edu.in</t>
  </si>
  <si>
    <t>c-mishika.jinddal@bennett.edu.in</t>
  </si>
  <si>
    <t>c-palki.mittal@bennett.edu.in</t>
  </si>
  <si>
    <t>c-pallavi.singh@bennett.edu.in</t>
  </si>
  <si>
    <t>c-ritika.dakolia@bennett.edu.in</t>
  </si>
  <si>
    <t>c-ritu.raj@bennett.edu.in</t>
  </si>
  <si>
    <t>c-roshan.singh@bennett.edu.in</t>
  </si>
  <si>
    <t>c-sakshi.singh@bennett.edu.in</t>
  </si>
  <si>
    <t>c-sanjana.pal@bennett.edu.in</t>
  </si>
  <si>
    <t>c-sanjay.rawat@bennett.edu.in</t>
  </si>
  <si>
    <t>c-shweta.gupta@bennett.edu.in</t>
  </si>
  <si>
    <t>c-sneha.kumarri@bennett.edu.in</t>
  </si>
  <si>
    <t>c-supriya.singh@bennett.edu.in</t>
  </si>
  <si>
    <t>c-surbhi.yadav@bennett.edu.in</t>
  </si>
  <si>
    <t>c-swati.shandaliya@bennett.edu.in</t>
  </si>
  <si>
    <t>c-vikas.pal@bennett.edu.in</t>
  </si>
  <si>
    <t>cc-vishwadeep.saxena@bennett.edu.in</t>
  </si>
  <si>
    <t xml:space="preserve">
c-abhinav.kumar@bennett.edu.in
</t>
  </si>
  <si>
    <t>c-arvind.kumar@bennett.edu.in</t>
  </si>
  <si>
    <t>c-hemant.singh@bennett.edu.in</t>
  </si>
  <si>
    <t>c-nikhil.pal@bennett.edu.in</t>
  </si>
  <si>
    <t>c-shalini.paniyar@bennett.edu.in</t>
  </si>
  <si>
    <t>c-shivansh.tyagi@bennett.edu.in</t>
  </si>
  <si>
    <t>c-tanushree.bansal@bennett.edu.in</t>
  </si>
  <si>
    <t xml:space="preserve"> c-tanya.yadav@bennett.edu.in</t>
  </si>
  <si>
    <t>c-debanjani.saha@bennett.edu.in</t>
  </si>
  <si>
    <t>c-mihir.kumar@bennett.edu.in</t>
  </si>
  <si>
    <t>c-prajukta.kashyap@bennett.edu.in</t>
  </si>
  <si>
    <t>c-shraddha.sharma@bennett.edu.in</t>
  </si>
  <si>
    <t>c-tanya.adhikari@bennett.edu.in</t>
  </si>
  <si>
    <t>c-deepanshi.sharma@bennett.edu.in</t>
  </si>
  <si>
    <t xml:space="preserve">
c-nidhi.khandelwal@bennett.edu.in</t>
  </si>
  <si>
    <t>c-abida.farid@bennett.edu.in</t>
  </si>
  <si>
    <t>c-agrim.chaudhary@bennett.edu.in</t>
  </si>
  <si>
    <t>c-akanksha.sengar@bennett.edu.in</t>
  </si>
  <si>
    <t>c-ankita.yadav@bennett.edu.in</t>
  </si>
  <si>
    <t>c-anshika.garg@bennett.edu.in</t>
  </si>
  <si>
    <t>c-bhoomi.kanujiya@bennett.edu.in</t>
  </si>
  <si>
    <t>c-harsh.vardhan@bennett.edu.in</t>
  </si>
  <si>
    <t>c-safiya.farheen@bennett.edu.in</t>
  </si>
  <si>
    <t>c-sakaar.srivastava@bennett.edu.in</t>
  </si>
  <si>
    <t>c-shalini.kumari@bennett.edu.in</t>
  </si>
  <si>
    <t>c-sneha.gupta@bennett.edu.in</t>
  </si>
  <si>
    <t>c-sukriti.shukla@bennett.edu.in</t>
  </si>
  <si>
    <t>c-yash.chaudhary@bennett.edu.in</t>
  </si>
  <si>
    <t>c-deepali.gupta@bennett.edu.in</t>
  </si>
  <si>
    <t>Ashna Sidiqqui</t>
  </si>
  <si>
    <t>c-ashna.sidiqqui@bennett.edu.in</t>
  </si>
  <si>
    <t>c-karnika.sharma@bennett.edu.in</t>
  </si>
  <si>
    <t>c-sumitra.bharti@bennett.edu.in</t>
  </si>
  <si>
    <t>c-bhumika.kohli@bennett.edu.in</t>
  </si>
  <si>
    <t>c-bashar.nasir@bennett.edu.in</t>
  </si>
  <si>
    <t>Bhavna Sahu</t>
  </si>
  <si>
    <t>Manisha Gupta</t>
  </si>
  <si>
    <t>Vaisnavi</t>
  </si>
  <si>
    <t>Yogita Singh</t>
  </si>
  <si>
    <t>c-bhavna.sahu@bennett.edu.in</t>
  </si>
  <si>
    <t>c-manisha.gupta@bennett.edu.in</t>
  </si>
  <si>
    <t>c-vaisnavi@bennett.edu.in</t>
  </si>
  <si>
    <t>c-yogita.singh@bennett.edu.in</t>
  </si>
  <si>
    <t xml:space="preserve">Abquari Akhtar </t>
  </si>
  <si>
    <t>c-abquar.akhtar@bennett.edu.in</t>
  </si>
  <si>
    <t>Ankita Singh</t>
  </si>
  <si>
    <t>c-ankita.singh1@bennett.edu.in</t>
  </si>
  <si>
    <t>August Month Performance Report</t>
  </si>
  <si>
    <t>Design Month Design Team_Performance Report</t>
  </si>
  <si>
    <t>Alok Raj</t>
  </si>
  <si>
    <t>c-alok.raj@bennett.edu.in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</si>
</sst>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u/>
      <sz val="10"/>
      <color theme="1"/>
      <name val="Calibri"/>
      <family val="2"/>
    </font>
    <font>
      <u/>
      <sz val="10"/>
      <color rgb="FF000000"/>
      <name val="Calibri"/>
      <family val="2"/>
      <scheme val="minor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1"/>
      <color theme="10"/>
      <name val="Calibri"/>
      <family val="2"/>
    </font>
    <font>
      <u/>
      <sz val="10"/>
      <color theme="1"/>
      <name val="Calibri"/>
      <family val="2"/>
      <scheme val="minor"/>
    </font>
    <font>
      <u/>
      <sz val="10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9" fontId="4" fillId="2" borderId="1" xfId="1" applyFont="1" applyFill="1" applyBorder="1" applyAlignment="1">
      <alignment horizontal="left"/>
    </xf>
    <xf numFmtId="9" fontId="4" fillId="2" borderId="1" xfId="1" applyFont="1" applyFill="1" applyBorder="1" applyAlignment="1">
      <alignment horizontal="left" vertical="top"/>
    </xf>
    <xf numFmtId="0" fontId="8" fillId="0" borderId="0" xfId="0" applyFont="1"/>
    <xf numFmtId="14" fontId="5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top"/>
    </xf>
    <xf numFmtId="14" fontId="12" fillId="5" borderId="1" xfId="0" applyNumberFormat="1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15" fillId="5" borderId="1" xfId="2" applyFont="1" applyFill="1" applyBorder="1" applyAlignment="1">
      <alignment horizontal="left"/>
    </xf>
    <xf numFmtId="0" fontId="12" fillId="5" borderId="1" xfId="0" applyFont="1" applyFill="1" applyBorder="1" applyAlignment="1">
      <alignment horizontal="left" vertical="center"/>
    </xf>
    <xf numFmtId="14" fontId="12" fillId="5" borderId="1" xfId="0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left" vertical="center"/>
    </xf>
    <xf numFmtId="0" fontId="16" fillId="5" borderId="1" xfId="2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3" fillId="5" borderId="1" xfId="2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9" fontId="5" fillId="0" borderId="1" xfId="1" applyFont="1" applyBorder="1" applyAlignment="1">
      <alignment horizontal="left" vertical="top"/>
    </xf>
    <xf numFmtId="9" fontId="2" fillId="6" borderId="1" xfId="1" applyFont="1" applyFill="1" applyBorder="1" applyAlignment="1">
      <alignment horizontal="left"/>
    </xf>
    <xf numFmtId="9" fontId="3" fillId="0" borderId="1" xfId="1" applyFont="1" applyBorder="1" applyAlignment="1">
      <alignment horizontal="left"/>
    </xf>
    <xf numFmtId="9" fontId="3" fillId="0" borderId="1" xfId="1" applyFont="1" applyBorder="1" applyAlignment="1">
      <alignment horizontal="left" vertical="top"/>
    </xf>
    <xf numFmtId="0" fontId="13" fillId="0" borderId="1" xfId="2" applyFont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mesgrouponline-my.sharepoint.com/personal/ishan_kapoor_shikshavijay_com/Documents/Desktop/Performance%20Report/July%20Month%20Performance.xlsx" TargetMode="External"/><Relationship Id="rId1" Type="http://schemas.openxmlformats.org/officeDocument/2006/relationships/externalLinkPath" Target="July%20Month%20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Month Targets"/>
      <sheetName val="Engineering"/>
      <sheetName val="Management"/>
      <sheetName val="Law"/>
      <sheetName val="Media &amp; Liberal Arts"/>
      <sheetName val="Design"/>
      <sheetName val="Inbound"/>
    </sheetNames>
    <sheetDataSet>
      <sheetData sheetId="0"/>
      <sheetData sheetId="1"/>
      <sheetData sheetId="2"/>
      <sheetData sheetId="3"/>
      <sheetData sheetId="4">
        <row r="2">
          <cell r="A2" t="str">
            <v>Counsellor Name</v>
          </cell>
          <cell r="B2" t="str">
            <v>Agency Name</v>
          </cell>
          <cell r="C2" t="str">
            <v>DOJ</v>
          </cell>
          <cell r="D2" t="str">
            <v>Email ID</v>
          </cell>
          <cell r="E2" t="str">
            <v>Non-Negotiable</v>
          </cell>
          <cell r="F2" t="str">
            <v>Overall</v>
          </cell>
          <cell r="G2" t="str">
            <v xml:space="preserve">Acknowledgment </v>
          </cell>
          <cell r="H2" t="str">
            <v>Achieved</v>
          </cell>
          <cell r="I2" t="str">
            <v>Pending</v>
          </cell>
          <cell r="J2" t="str">
            <v>%Achieved</v>
          </cell>
        </row>
        <row r="3">
          <cell r="A3" t="str">
            <v>Shraddha Sharma</v>
          </cell>
          <cell r="B3" t="str">
            <v>SKS Enterprises</v>
          </cell>
          <cell r="C3">
            <v>46065</v>
          </cell>
          <cell r="D3" t="str">
            <v>c-shraddha.sharma@bennett.edu.in</v>
          </cell>
          <cell r="E3">
            <v>25</v>
          </cell>
          <cell r="F3">
            <v>35</v>
          </cell>
          <cell r="H3">
            <v>35</v>
          </cell>
          <cell r="I3">
            <v>0</v>
          </cell>
          <cell r="J3">
            <v>1</v>
          </cell>
        </row>
        <row r="4">
          <cell r="A4" t="str">
            <v>Taniya Adhikari</v>
          </cell>
          <cell r="B4" t="str">
            <v>SKS Enterprises</v>
          </cell>
          <cell r="C4">
            <v>46020</v>
          </cell>
          <cell r="D4" t="str">
            <v>c-tanya.adhikari@bennett.edu.in</v>
          </cell>
          <cell r="E4">
            <v>25</v>
          </cell>
          <cell r="F4">
            <v>35</v>
          </cell>
          <cell r="H4">
            <v>34</v>
          </cell>
          <cell r="I4">
            <v>1</v>
          </cell>
          <cell r="J4">
            <v>0.97142857142857142</v>
          </cell>
        </row>
        <row r="5">
          <cell r="A5" t="str">
            <v>Prajukta Kashyap</v>
          </cell>
          <cell r="B5" t="str">
            <v>AM2PM</v>
          </cell>
          <cell r="C5">
            <v>46121</v>
          </cell>
          <cell r="D5" t="str">
            <v>c-prajukta.kashyap@bennett.edu.in</v>
          </cell>
          <cell r="E5">
            <v>25</v>
          </cell>
          <cell r="F5">
            <v>35</v>
          </cell>
          <cell r="H5">
            <v>31</v>
          </cell>
          <cell r="I5">
            <v>4</v>
          </cell>
          <cell r="J5">
            <v>0.88571428571428568</v>
          </cell>
        </row>
        <row r="6">
          <cell r="A6" t="str">
            <v>Ashutosh Pandey</v>
          </cell>
          <cell r="B6" t="str">
            <v>SKS Enterprises</v>
          </cell>
          <cell r="C6">
            <v>46020</v>
          </cell>
          <cell r="D6" t="str">
            <v>c-ashutosh.pandey@bennett.edu.in</v>
          </cell>
          <cell r="E6">
            <v>25</v>
          </cell>
          <cell r="F6">
            <v>35</v>
          </cell>
          <cell r="H6">
            <v>27</v>
          </cell>
          <cell r="I6">
            <v>8</v>
          </cell>
          <cell r="J6">
            <v>0.77142857142857146</v>
          </cell>
        </row>
        <row r="7">
          <cell r="A7" t="str">
            <v xml:space="preserve">Abquari Akhtar </v>
          </cell>
          <cell r="B7" t="str">
            <v>SKS Enterprises</v>
          </cell>
          <cell r="C7">
            <v>46118</v>
          </cell>
          <cell r="D7" t="str">
            <v>c-abquar.akhtar@bennett.edu.in</v>
          </cell>
          <cell r="E7">
            <v>25</v>
          </cell>
          <cell r="F7">
            <v>35</v>
          </cell>
          <cell r="H7">
            <v>25</v>
          </cell>
          <cell r="I7">
            <v>10</v>
          </cell>
          <cell r="J7">
            <v>0.7142857142857143</v>
          </cell>
        </row>
        <row r="8">
          <cell r="E8">
            <v>125</v>
          </cell>
          <cell r="F8">
            <v>175</v>
          </cell>
          <cell r="H8">
            <v>152</v>
          </cell>
          <cell r="I8">
            <v>23</v>
          </cell>
          <cell r="J8">
            <v>0.86857142857142855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-vaisnavi@bennett.edu.in" TargetMode="External"/><Relationship Id="rId2" Type="http://schemas.openxmlformats.org/officeDocument/2006/relationships/hyperlink" Target="mailto:c-manisha.gupta@bennett.edu.in" TargetMode="External"/><Relationship Id="rId1" Type="http://schemas.openxmlformats.org/officeDocument/2006/relationships/hyperlink" Target="mailto:c-bhumika.kohli@bennett.edu.in" TargetMode="External"/><Relationship Id="rId5" Type="http://schemas.openxmlformats.org/officeDocument/2006/relationships/hyperlink" Target="mailto:c-alok.raj@bennett.edu.in" TargetMode="External"/><Relationship Id="rId4" Type="http://schemas.openxmlformats.org/officeDocument/2006/relationships/hyperlink" Target="mailto:c-bashar.nasir@bennett.edu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-vaisnavi@bennett.edu.in" TargetMode="External"/><Relationship Id="rId2" Type="http://schemas.openxmlformats.org/officeDocument/2006/relationships/hyperlink" Target="mailto:c-manisha.gupta@bennett.edu.in" TargetMode="External"/><Relationship Id="rId1" Type="http://schemas.openxmlformats.org/officeDocument/2006/relationships/hyperlink" Target="mailto:c-bhumika.kohli@bennett.edu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-bashar.nasir@bennet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opLeftCell="A2" workbookViewId="0">
      <selection activeCell="B2" sqref="B2"/>
    </sheetView>
  </sheetViews>
  <sheetFormatPr defaultRowHeight="12" x14ac:dyDescent="0.2"/>
  <cols>
    <col min="1" max="1" width="4.5703125" style="10" bestFit="1" customWidth="1"/>
    <col min="2" max="2" width="18.7109375" style="10" bestFit="1" customWidth="1"/>
    <col min="3" max="3" width="13.140625" style="10" customWidth="1"/>
    <col min="4" max="4" width="10.140625" style="10" customWidth="1"/>
    <col min="5" max="5" width="32.140625" style="10" customWidth="1"/>
    <col min="6" max="6" width="15.85546875" style="10" customWidth="1"/>
    <col min="7" max="7" width="6.5703125" style="10" bestFit="1" customWidth="1"/>
    <col min="8" max="8" width="13.5703125" style="10" bestFit="1" customWidth="1"/>
    <col min="9" max="9" width="8.140625" style="10" bestFit="1" customWidth="1"/>
    <col min="10" max="10" width="7.28515625" style="10" bestFit="1" customWidth="1"/>
    <col min="11" max="11" width="9.85546875" style="10" bestFit="1" customWidth="1"/>
    <col min="12" max="12" width="12.140625" style="10" bestFit="1" customWidth="1"/>
    <col min="13" max="13" width="17.42578125" style="10" bestFit="1" customWidth="1"/>
    <col min="14" max="14" width="7" style="10" bestFit="1" customWidth="1"/>
    <col min="15" max="15" width="13.5703125" style="10" bestFit="1" customWidth="1"/>
    <col min="16" max="16" width="8.140625" style="10" bestFit="1" customWidth="1"/>
    <col min="17" max="16384" width="9.140625" style="10"/>
  </cols>
  <sheetData>
    <row r="1" spans="1:16" ht="12.75" x14ac:dyDescent="0.2">
      <c r="A1" s="41" t="s">
        <v>152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6" ht="12.75" x14ac:dyDescent="0.2">
      <c r="A2" s="29" t="s">
        <v>68</v>
      </c>
      <c r="B2" s="29" t="s">
        <v>0</v>
      </c>
      <c r="C2" s="29" t="s">
        <v>78</v>
      </c>
      <c r="D2" s="29" t="s">
        <v>79</v>
      </c>
      <c r="E2" s="29" t="s">
        <v>80</v>
      </c>
      <c r="F2" s="29" t="s">
        <v>61</v>
      </c>
      <c r="G2" s="29" t="s">
        <v>1</v>
      </c>
      <c r="H2" s="29" t="s">
        <v>2</v>
      </c>
      <c r="I2" s="29" t="s">
        <v>3</v>
      </c>
      <c r="J2" s="29" t="s">
        <v>4</v>
      </c>
      <c r="K2" s="29" t="s">
        <v>5</v>
      </c>
    </row>
    <row r="3" spans="1:16" ht="12.75" x14ac:dyDescent="0.2">
      <c r="A3" s="6">
        <v>1</v>
      </c>
      <c r="B3" s="6" t="s">
        <v>7</v>
      </c>
      <c r="C3" s="6" t="s">
        <v>81</v>
      </c>
      <c r="D3" s="11">
        <v>46106</v>
      </c>
      <c r="E3" s="12" t="s">
        <v>83</v>
      </c>
      <c r="F3" s="6" t="s">
        <v>63</v>
      </c>
      <c r="G3" s="6">
        <v>50</v>
      </c>
      <c r="H3" s="6">
        <v>40</v>
      </c>
      <c r="I3" s="6"/>
      <c r="J3" s="6">
        <f>I3-G3</f>
        <v>-50</v>
      </c>
      <c r="K3" s="35">
        <f>I3/G3</f>
        <v>0</v>
      </c>
      <c r="M3" s="40" t="s">
        <v>72</v>
      </c>
      <c r="N3" s="40"/>
      <c r="O3" s="40"/>
      <c r="P3" s="40"/>
    </row>
    <row r="4" spans="1:16" ht="12.75" x14ac:dyDescent="0.2">
      <c r="A4" s="6">
        <v>2</v>
      </c>
      <c r="B4" s="6" t="s">
        <v>8</v>
      </c>
      <c r="C4" s="6" t="s">
        <v>81</v>
      </c>
      <c r="D4" s="11">
        <v>46020</v>
      </c>
      <c r="E4" s="12" t="s">
        <v>84</v>
      </c>
      <c r="F4" s="6" t="s">
        <v>63</v>
      </c>
      <c r="G4" s="6">
        <v>50</v>
      </c>
      <c r="H4" s="6">
        <v>40</v>
      </c>
      <c r="I4" s="6"/>
      <c r="J4" s="6">
        <f t="shared" ref="J4:J29" si="0">I4-G4</f>
        <v>-50</v>
      </c>
      <c r="K4" s="35">
        <f t="shared" ref="K4:K65" si="1">I4/G4</f>
        <v>0</v>
      </c>
      <c r="M4" s="30" t="s">
        <v>61</v>
      </c>
      <c r="N4" s="31" t="s">
        <v>69</v>
      </c>
      <c r="O4" s="30" t="s">
        <v>2</v>
      </c>
      <c r="P4" s="31" t="s">
        <v>3</v>
      </c>
    </row>
    <row r="5" spans="1:16" ht="12.75" x14ac:dyDescent="0.2">
      <c r="A5" s="6">
        <v>3</v>
      </c>
      <c r="B5" s="6" t="s">
        <v>9</v>
      </c>
      <c r="C5" s="6" t="s">
        <v>81</v>
      </c>
      <c r="D5" s="11">
        <v>45985</v>
      </c>
      <c r="E5" s="12" t="s">
        <v>85</v>
      </c>
      <c r="F5" s="6" t="s">
        <v>63</v>
      </c>
      <c r="G5" s="6">
        <v>50</v>
      </c>
      <c r="H5" s="6">
        <v>40</v>
      </c>
      <c r="I5" s="6"/>
      <c r="J5" s="6">
        <f t="shared" si="0"/>
        <v>-50</v>
      </c>
      <c r="K5" s="35">
        <f t="shared" si="1"/>
        <v>0</v>
      </c>
      <c r="M5" s="32" t="s">
        <v>63</v>
      </c>
      <c r="N5" s="32">
        <f>Engineering!G30</f>
        <v>1250</v>
      </c>
      <c r="O5" s="32">
        <f>Engineering!H30</f>
        <v>1000</v>
      </c>
      <c r="P5" s="32"/>
    </row>
    <row r="6" spans="1:16" ht="12.75" x14ac:dyDescent="0.2">
      <c r="A6" s="6">
        <v>4</v>
      </c>
      <c r="B6" s="6" t="s">
        <v>12</v>
      </c>
      <c r="C6" s="17" t="s">
        <v>81</v>
      </c>
      <c r="D6" s="18">
        <v>46147</v>
      </c>
      <c r="E6" s="20" t="s">
        <v>138</v>
      </c>
      <c r="F6" s="6" t="s">
        <v>63</v>
      </c>
      <c r="G6" s="6">
        <v>50</v>
      </c>
      <c r="H6" s="6">
        <v>40</v>
      </c>
      <c r="I6" s="6"/>
      <c r="J6" s="6">
        <f t="shared" si="0"/>
        <v>-50</v>
      </c>
      <c r="K6" s="35">
        <f t="shared" si="1"/>
        <v>0</v>
      </c>
      <c r="M6" s="32" t="s">
        <v>62</v>
      </c>
      <c r="N6" s="32">
        <f>Management!G13</f>
        <v>450</v>
      </c>
      <c r="O6" s="32">
        <f>Management!H13</f>
        <v>350</v>
      </c>
      <c r="P6" s="32"/>
    </row>
    <row r="7" spans="1:16" ht="12.75" x14ac:dyDescent="0.2">
      <c r="A7" s="6">
        <v>5</v>
      </c>
      <c r="B7" s="6" t="s">
        <v>14</v>
      </c>
      <c r="C7" s="6" t="s">
        <v>81</v>
      </c>
      <c r="D7" s="11">
        <v>46125</v>
      </c>
      <c r="E7" s="12" t="s">
        <v>86</v>
      </c>
      <c r="F7" s="6" t="s">
        <v>63</v>
      </c>
      <c r="G7" s="6">
        <v>50</v>
      </c>
      <c r="H7" s="6">
        <v>40</v>
      </c>
      <c r="I7" s="6"/>
      <c r="J7" s="6">
        <f t="shared" si="0"/>
        <v>-50</v>
      </c>
      <c r="K7" s="35">
        <f t="shared" si="1"/>
        <v>0</v>
      </c>
      <c r="M7" s="32" t="s">
        <v>64</v>
      </c>
      <c r="N7" s="32">
        <f>Law!G5</f>
        <v>100</v>
      </c>
      <c r="O7" s="32">
        <f>Law!H5</f>
        <v>80</v>
      </c>
      <c r="P7" s="32"/>
    </row>
    <row r="8" spans="1:16" ht="12.75" x14ac:dyDescent="0.2">
      <c r="A8" s="6">
        <v>6</v>
      </c>
      <c r="B8" s="6" t="s">
        <v>17</v>
      </c>
      <c r="C8" s="6" t="s">
        <v>81</v>
      </c>
      <c r="D8" s="11">
        <v>46128</v>
      </c>
      <c r="E8" s="12" t="s">
        <v>87</v>
      </c>
      <c r="F8" s="6" t="s">
        <v>63</v>
      </c>
      <c r="G8" s="6">
        <v>50</v>
      </c>
      <c r="H8" s="6">
        <v>40</v>
      </c>
      <c r="I8" s="6"/>
      <c r="J8" s="6">
        <f t="shared" si="0"/>
        <v>-50</v>
      </c>
      <c r="K8" s="35">
        <f t="shared" si="1"/>
        <v>0</v>
      </c>
      <c r="M8" s="32" t="s">
        <v>70</v>
      </c>
      <c r="N8" s="32">
        <f>'Liberal Arts'!G7</f>
        <v>175</v>
      </c>
      <c r="O8" s="32">
        <f>'Liberal Arts'!H7</f>
        <v>140</v>
      </c>
      <c r="P8" s="32"/>
    </row>
    <row r="9" spans="1:16" ht="12.75" x14ac:dyDescent="0.2">
      <c r="A9" s="6">
        <v>7</v>
      </c>
      <c r="B9" s="6" t="s">
        <v>18</v>
      </c>
      <c r="C9" s="6" t="s">
        <v>81</v>
      </c>
      <c r="D9" s="11">
        <v>45352</v>
      </c>
      <c r="E9" s="12" t="s">
        <v>88</v>
      </c>
      <c r="F9" s="6" t="s">
        <v>63</v>
      </c>
      <c r="G9" s="6">
        <v>50</v>
      </c>
      <c r="H9" s="6">
        <v>40</v>
      </c>
      <c r="I9" s="6"/>
      <c r="J9" s="6">
        <f t="shared" si="0"/>
        <v>-50</v>
      </c>
      <c r="K9" s="35">
        <f t="shared" si="1"/>
        <v>0</v>
      </c>
      <c r="M9" s="32" t="s">
        <v>65</v>
      </c>
      <c r="N9" s="32">
        <f>Design!G6</f>
        <v>100</v>
      </c>
      <c r="O9" s="32">
        <f>Design!H6</f>
        <v>75</v>
      </c>
      <c r="P9" s="32"/>
    </row>
    <row r="10" spans="1:16" ht="12.75" x14ac:dyDescent="0.2">
      <c r="A10" s="6">
        <v>8</v>
      </c>
      <c r="B10" s="6" t="s">
        <v>20</v>
      </c>
      <c r="C10" s="6" t="s">
        <v>81</v>
      </c>
      <c r="D10" s="11">
        <v>46034</v>
      </c>
      <c r="E10" s="12" t="s">
        <v>89</v>
      </c>
      <c r="F10" s="6" t="s">
        <v>63</v>
      </c>
      <c r="G10" s="6">
        <v>50</v>
      </c>
      <c r="H10" s="6">
        <v>40</v>
      </c>
      <c r="I10" s="6"/>
      <c r="J10" s="6">
        <f t="shared" si="0"/>
        <v>-50</v>
      </c>
      <c r="K10" s="35">
        <f t="shared" si="1"/>
        <v>0</v>
      </c>
      <c r="M10" s="32" t="s">
        <v>67</v>
      </c>
      <c r="N10" s="32">
        <f>Inbound!G20</f>
        <v>510</v>
      </c>
      <c r="O10" s="32">
        <f>Inbound!H20</f>
        <v>340</v>
      </c>
      <c r="P10" s="32"/>
    </row>
    <row r="11" spans="1:16" ht="12.75" x14ac:dyDescent="0.2">
      <c r="A11" s="6">
        <v>9</v>
      </c>
      <c r="B11" s="6" t="s">
        <v>23</v>
      </c>
      <c r="C11" s="6" t="s">
        <v>82</v>
      </c>
      <c r="D11" s="11">
        <v>46129</v>
      </c>
      <c r="E11" s="12" t="s">
        <v>90</v>
      </c>
      <c r="F11" s="6" t="s">
        <v>63</v>
      </c>
      <c r="G11" s="6">
        <v>50</v>
      </c>
      <c r="H11" s="6">
        <v>40</v>
      </c>
      <c r="I11" s="6"/>
      <c r="J11" s="6">
        <f t="shared" si="0"/>
        <v>-50</v>
      </c>
      <c r="K11" s="35">
        <f t="shared" si="1"/>
        <v>0</v>
      </c>
      <c r="M11" s="33" t="s">
        <v>60</v>
      </c>
      <c r="N11" s="33">
        <f>SUM(N5:N10)</f>
        <v>2585</v>
      </c>
      <c r="O11" s="33">
        <f>SUM(O5:O10)</f>
        <v>1985</v>
      </c>
      <c r="P11" s="34"/>
    </row>
    <row r="12" spans="1:16" ht="12.75" x14ac:dyDescent="0.2">
      <c r="A12" s="6">
        <v>10</v>
      </c>
      <c r="B12" s="6" t="s">
        <v>71</v>
      </c>
      <c r="C12" s="6" t="s">
        <v>82</v>
      </c>
      <c r="D12" s="11">
        <v>46125</v>
      </c>
      <c r="E12" s="12" t="s">
        <v>91</v>
      </c>
      <c r="F12" s="6" t="s">
        <v>63</v>
      </c>
      <c r="G12" s="6">
        <v>50</v>
      </c>
      <c r="H12" s="6">
        <v>40</v>
      </c>
      <c r="I12" s="6"/>
      <c r="J12" s="6">
        <f t="shared" si="0"/>
        <v>-50</v>
      </c>
      <c r="K12" s="35">
        <f t="shared" si="1"/>
        <v>0</v>
      </c>
    </row>
    <row r="13" spans="1:16" ht="12.75" x14ac:dyDescent="0.2">
      <c r="A13" s="6">
        <v>11</v>
      </c>
      <c r="B13" s="6" t="s">
        <v>25</v>
      </c>
      <c r="C13" s="6" t="s">
        <v>81</v>
      </c>
      <c r="D13" s="11">
        <v>45985</v>
      </c>
      <c r="E13" s="12" t="s">
        <v>92</v>
      </c>
      <c r="F13" s="6" t="s">
        <v>63</v>
      </c>
      <c r="G13" s="6">
        <v>50</v>
      </c>
      <c r="H13" s="6">
        <v>40</v>
      </c>
      <c r="I13" s="6"/>
      <c r="J13" s="6">
        <f t="shared" si="0"/>
        <v>-50</v>
      </c>
      <c r="K13" s="35">
        <f t="shared" si="1"/>
        <v>0</v>
      </c>
    </row>
    <row r="14" spans="1:16" ht="12.75" x14ac:dyDescent="0.2">
      <c r="A14" s="6">
        <v>12</v>
      </c>
      <c r="B14" s="6" t="s">
        <v>26</v>
      </c>
      <c r="C14" s="6" t="s">
        <v>81</v>
      </c>
      <c r="D14" s="11">
        <v>46121</v>
      </c>
      <c r="E14" s="12" t="s">
        <v>93</v>
      </c>
      <c r="F14" s="6" t="s">
        <v>63</v>
      </c>
      <c r="G14" s="6">
        <v>50</v>
      </c>
      <c r="H14" s="6">
        <v>40</v>
      </c>
      <c r="I14" s="6"/>
      <c r="J14" s="6">
        <f t="shared" si="0"/>
        <v>-50</v>
      </c>
      <c r="K14" s="35">
        <f t="shared" si="1"/>
        <v>0</v>
      </c>
    </row>
    <row r="15" spans="1:16" ht="12.75" x14ac:dyDescent="0.2">
      <c r="A15" s="6">
        <v>13</v>
      </c>
      <c r="B15" s="6" t="s">
        <v>27</v>
      </c>
      <c r="C15" s="6" t="s">
        <v>82</v>
      </c>
      <c r="D15" s="11">
        <v>46125</v>
      </c>
      <c r="E15" s="12" t="s">
        <v>94</v>
      </c>
      <c r="F15" s="6" t="s">
        <v>63</v>
      </c>
      <c r="G15" s="6">
        <v>50</v>
      </c>
      <c r="H15" s="6">
        <v>40</v>
      </c>
      <c r="I15" s="6"/>
      <c r="J15" s="6">
        <f t="shared" si="0"/>
        <v>-50</v>
      </c>
      <c r="K15" s="35">
        <f t="shared" si="1"/>
        <v>0</v>
      </c>
    </row>
    <row r="16" spans="1:16" ht="12.75" x14ac:dyDescent="0.2">
      <c r="A16" s="6">
        <v>14</v>
      </c>
      <c r="B16" s="6" t="s">
        <v>28</v>
      </c>
      <c r="C16" s="6" t="s">
        <v>82</v>
      </c>
      <c r="D16" s="11">
        <v>46128</v>
      </c>
      <c r="E16" s="12" t="s">
        <v>95</v>
      </c>
      <c r="F16" s="6" t="s">
        <v>63</v>
      </c>
      <c r="G16" s="6">
        <v>50</v>
      </c>
      <c r="H16" s="6">
        <v>40</v>
      </c>
      <c r="I16" s="6"/>
      <c r="J16" s="6">
        <f t="shared" si="0"/>
        <v>-50</v>
      </c>
      <c r="K16" s="35">
        <f t="shared" si="1"/>
        <v>0</v>
      </c>
    </row>
    <row r="17" spans="1:11" ht="12.75" x14ac:dyDescent="0.2">
      <c r="A17" s="6">
        <v>15</v>
      </c>
      <c r="B17" s="6" t="s">
        <v>29</v>
      </c>
      <c r="C17" s="6" t="s">
        <v>82</v>
      </c>
      <c r="D17" s="11">
        <v>46132</v>
      </c>
      <c r="E17" s="12" t="s">
        <v>96</v>
      </c>
      <c r="F17" s="6" t="s">
        <v>63</v>
      </c>
      <c r="G17" s="6">
        <v>50</v>
      </c>
      <c r="H17" s="6">
        <v>40</v>
      </c>
      <c r="I17" s="6"/>
      <c r="J17" s="6">
        <f t="shared" si="0"/>
        <v>-50</v>
      </c>
      <c r="K17" s="35">
        <f t="shared" si="1"/>
        <v>0</v>
      </c>
    </row>
    <row r="18" spans="1:11" ht="12.75" x14ac:dyDescent="0.2">
      <c r="A18" s="6">
        <v>16</v>
      </c>
      <c r="B18" s="6" t="s">
        <v>30</v>
      </c>
      <c r="C18" s="6" t="s">
        <v>82</v>
      </c>
      <c r="D18" s="11">
        <v>46121</v>
      </c>
      <c r="E18" s="12" t="s">
        <v>97</v>
      </c>
      <c r="F18" s="6" t="s">
        <v>63</v>
      </c>
      <c r="G18" s="6">
        <v>50</v>
      </c>
      <c r="H18" s="6">
        <v>40</v>
      </c>
      <c r="I18" s="6"/>
      <c r="J18" s="6">
        <f t="shared" si="0"/>
        <v>-50</v>
      </c>
      <c r="K18" s="35">
        <f t="shared" si="1"/>
        <v>0</v>
      </c>
    </row>
    <row r="19" spans="1:11" ht="12.75" x14ac:dyDescent="0.2">
      <c r="A19" s="6">
        <v>17</v>
      </c>
      <c r="B19" s="6" t="s">
        <v>34</v>
      </c>
      <c r="C19" s="6" t="s">
        <v>81</v>
      </c>
      <c r="D19" s="11">
        <v>46034</v>
      </c>
      <c r="E19" s="12" t="s">
        <v>98</v>
      </c>
      <c r="F19" s="6" t="s">
        <v>63</v>
      </c>
      <c r="G19" s="6">
        <v>50</v>
      </c>
      <c r="H19" s="6">
        <v>40</v>
      </c>
      <c r="I19" s="6"/>
      <c r="J19" s="6">
        <f t="shared" si="0"/>
        <v>-50</v>
      </c>
      <c r="K19" s="35">
        <f t="shared" si="1"/>
        <v>0</v>
      </c>
    </row>
    <row r="20" spans="1:11" ht="12.75" x14ac:dyDescent="0.2">
      <c r="A20" s="6">
        <v>18</v>
      </c>
      <c r="B20" s="6" t="s">
        <v>35</v>
      </c>
      <c r="C20" s="6" t="s">
        <v>81</v>
      </c>
      <c r="D20" s="11">
        <v>46126</v>
      </c>
      <c r="E20" s="12" t="s">
        <v>99</v>
      </c>
      <c r="F20" s="6" t="s">
        <v>63</v>
      </c>
      <c r="G20" s="6">
        <v>50</v>
      </c>
      <c r="H20" s="6">
        <v>40</v>
      </c>
      <c r="I20" s="6"/>
      <c r="J20" s="6">
        <f t="shared" si="0"/>
        <v>-50</v>
      </c>
      <c r="K20" s="35">
        <f t="shared" si="1"/>
        <v>0</v>
      </c>
    </row>
    <row r="21" spans="1:11" ht="12.75" x14ac:dyDescent="0.2">
      <c r="A21" s="6">
        <v>19</v>
      </c>
      <c r="B21" s="6" t="s">
        <v>36</v>
      </c>
      <c r="C21" s="6" t="s">
        <v>81</v>
      </c>
      <c r="D21" s="11">
        <v>46125</v>
      </c>
      <c r="E21" s="12" t="s">
        <v>100</v>
      </c>
      <c r="F21" s="6" t="s">
        <v>63</v>
      </c>
      <c r="G21" s="6">
        <v>50</v>
      </c>
      <c r="H21" s="6">
        <v>40</v>
      </c>
      <c r="I21" s="6"/>
      <c r="J21" s="6">
        <f t="shared" si="0"/>
        <v>-50</v>
      </c>
      <c r="K21" s="35">
        <f t="shared" si="1"/>
        <v>0</v>
      </c>
    </row>
    <row r="22" spans="1:11" ht="12.75" x14ac:dyDescent="0.2">
      <c r="A22" s="6">
        <v>20</v>
      </c>
      <c r="B22" s="6" t="s">
        <v>37</v>
      </c>
      <c r="C22" s="6" t="s">
        <v>82</v>
      </c>
      <c r="D22" s="11">
        <v>46132</v>
      </c>
      <c r="E22" s="12" t="s">
        <v>101</v>
      </c>
      <c r="F22" s="6" t="s">
        <v>63</v>
      </c>
      <c r="G22" s="6">
        <v>50</v>
      </c>
      <c r="H22" s="6">
        <v>40</v>
      </c>
      <c r="I22" s="6"/>
      <c r="J22" s="6">
        <f t="shared" si="0"/>
        <v>-50</v>
      </c>
      <c r="K22" s="35">
        <f t="shared" si="1"/>
        <v>0</v>
      </c>
    </row>
    <row r="23" spans="1:11" ht="12.75" x14ac:dyDescent="0.2">
      <c r="A23" s="6">
        <v>21</v>
      </c>
      <c r="B23" s="6" t="s">
        <v>38</v>
      </c>
      <c r="C23" s="6" t="s">
        <v>81</v>
      </c>
      <c r="D23" s="11">
        <v>46006</v>
      </c>
      <c r="E23" s="12" t="s">
        <v>102</v>
      </c>
      <c r="F23" s="6" t="s">
        <v>63</v>
      </c>
      <c r="G23" s="6">
        <v>50</v>
      </c>
      <c r="H23" s="6">
        <v>40</v>
      </c>
      <c r="I23" s="6"/>
      <c r="J23" s="6">
        <f t="shared" si="0"/>
        <v>-50</v>
      </c>
      <c r="K23" s="35">
        <f t="shared" si="1"/>
        <v>0</v>
      </c>
    </row>
    <row r="24" spans="1:11" ht="12.75" x14ac:dyDescent="0.2">
      <c r="A24" s="6">
        <v>22</v>
      </c>
      <c r="B24" s="6" t="s">
        <v>42</v>
      </c>
      <c r="C24" s="6" t="s">
        <v>82</v>
      </c>
      <c r="D24" s="11">
        <v>46125</v>
      </c>
      <c r="E24" s="12" t="s">
        <v>103</v>
      </c>
      <c r="F24" s="6" t="s">
        <v>63</v>
      </c>
      <c r="G24" s="6">
        <v>50</v>
      </c>
      <c r="H24" s="6">
        <v>40</v>
      </c>
      <c r="I24" s="6"/>
      <c r="J24" s="6">
        <f t="shared" si="0"/>
        <v>-50</v>
      </c>
      <c r="K24" s="35">
        <f t="shared" si="1"/>
        <v>0</v>
      </c>
    </row>
    <row r="25" spans="1:11" ht="12.75" x14ac:dyDescent="0.2">
      <c r="A25" s="6">
        <v>23</v>
      </c>
      <c r="B25" s="6" t="s">
        <v>43</v>
      </c>
      <c r="C25" s="6" t="s">
        <v>81</v>
      </c>
      <c r="D25" s="11">
        <v>46113</v>
      </c>
      <c r="E25" s="12" t="s">
        <v>104</v>
      </c>
      <c r="F25" s="6" t="s">
        <v>63</v>
      </c>
      <c r="G25" s="6">
        <v>50</v>
      </c>
      <c r="H25" s="6">
        <v>40</v>
      </c>
      <c r="I25" s="6"/>
      <c r="J25" s="6">
        <f t="shared" si="0"/>
        <v>-50</v>
      </c>
      <c r="K25" s="35">
        <f t="shared" si="1"/>
        <v>0</v>
      </c>
    </row>
    <row r="26" spans="1:11" ht="12.75" x14ac:dyDescent="0.2">
      <c r="A26" s="6">
        <v>24</v>
      </c>
      <c r="B26" s="6" t="s">
        <v>140</v>
      </c>
      <c r="C26" s="17" t="s">
        <v>81</v>
      </c>
      <c r="D26" s="18">
        <v>46128</v>
      </c>
      <c r="E26" s="19" t="s">
        <v>144</v>
      </c>
      <c r="F26" s="6" t="s">
        <v>63</v>
      </c>
      <c r="G26" s="6">
        <v>25</v>
      </c>
      <c r="H26" s="6">
        <v>20</v>
      </c>
      <c r="I26" s="6"/>
      <c r="J26" s="6">
        <f t="shared" si="0"/>
        <v>-25</v>
      </c>
      <c r="K26" s="35">
        <f t="shared" si="1"/>
        <v>0</v>
      </c>
    </row>
    <row r="27" spans="1:11" ht="12.75" x14ac:dyDescent="0.2">
      <c r="A27" s="6">
        <v>25</v>
      </c>
      <c r="B27" s="6" t="s">
        <v>141</v>
      </c>
      <c r="C27" s="17" t="s">
        <v>82</v>
      </c>
      <c r="D27" s="22">
        <v>46181</v>
      </c>
      <c r="E27" s="27" t="s">
        <v>145</v>
      </c>
      <c r="F27" s="6" t="s">
        <v>63</v>
      </c>
      <c r="G27" s="6">
        <v>25</v>
      </c>
      <c r="H27" s="6">
        <v>20</v>
      </c>
      <c r="I27" s="6"/>
      <c r="J27" s="6">
        <f t="shared" si="0"/>
        <v>-25</v>
      </c>
      <c r="K27" s="35">
        <f t="shared" si="1"/>
        <v>0</v>
      </c>
    </row>
    <row r="28" spans="1:11" ht="12.75" x14ac:dyDescent="0.2">
      <c r="A28" s="6">
        <v>26</v>
      </c>
      <c r="B28" s="6" t="s">
        <v>142</v>
      </c>
      <c r="C28" s="17" t="s">
        <v>82</v>
      </c>
      <c r="D28" s="18">
        <v>46174</v>
      </c>
      <c r="E28" s="20" t="s">
        <v>146</v>
      </c>
      <c r="F28" s="6" t="s">
        <v>63</v>
      </c>
      <c r="G28" s="6">
        <v>25</v>
      </c>
      <c r="H28" s="6">
        <v>20</v>
      </c>
      <c r="I28" s="6"/>
      <c r="J28" s="6">
        <f t="shared" si="0"/>
        <v>-25</v>
      </c>
      <c r="K28" s="35">
        <f t="shared" si="1"/>
        <v>0</v>
      </c>
    </row>
    <row r="29" spans="1:11" ht="12.75" x14ac:dyDescent="0.2">
      <c r="A29" s="6">
        <v>27</v>
      </c>
      <c r="B29" s="6" t="s">
        <v>143</v>
      </c>
      <c r="C29" s="17" t="s">
        <v>82</v>
      </c>
      <c r="D29" s="18">
        <v>46126</v>
      </c>
      <c r="E29" s="19" t="s">
        <v>147</v>
      </c>
      <c r="F29" s="6" t="s">
        <v>63</v>
      </c>
      <c r="G29" s="6">
        <v>25</v>
      </c>
      <c r="H29" s="6">
        <v>20</v>
      </c>
      <c r="I29" s="6"/>
      <c r="J29" s="6">
        <f t="shared" si="0"/>
        <v>-25</v>
      </c>
      <c r="K29" s="35">
        <f t="shared" si="1"/>
        <v>0</v>
      </c>
    </row>
    <row r="30" spans="1:11" ht="12.75" x14ac:dyDescent="0.2">
      <c r="A30" s="6">
        <v>28</v>
      </c>
      <c r="B30" s="1" t="s">
        <v>6</v>
      </c>
      <c r="C30" s="1" t="s">
        <v>81</v>
      </c>
      <c r="D30" s="13">
        <v>46104</v>
      </c>
      <c r="E30" s="23" t="s">
        <v>105</v>
      </c>
      <c r="F30" s="1" t="s">
        <v>62</v>
      </c>
      <c r="G30" s="26">
        <v>50</v>
      </c>
      <c r="H30" s="26">
        <v>40</v>
      </c>
      <c r="I30" s="26"/>
      <c r="J30" s="26">
        <f>I30-G30</f>
        <v>-50</v>
      </c>
      <c r="K30" s="35">
        <f t="shared" si="1"/>
        <v>0</v>
      </c>
    </row>
    <row r="31" spans="1:11" ht="12.75" x14ac:dyDescent="0.2">
      <c r="A31" s="6">
        <v>29</v>
      </c>
      <c r="B31" s="1" t="s">
        <v>10</v>
      </c>
      <c r="C31" s="1" t="s">
        <v>81</v>
      </c>
      <c r="D31" s="13">
        <v>46125</v>
      </c>
      <c r="E31" s="23" t="s">
        <v>106</v>
      </c>
      <c r="F31" s="1" t="s">
        <v>62</v>
      </c>
      <c r="G31" s="26">
        <v>50</v>
      </c>
      <c r="H31" s="26">
        <v>40</v>
      </c>
      <c r="I31" s="26"/>
      <c r="J31" s="26">
        <f t="shared" ref="J31:J39" si="2">I31-G31</f>
        <v>-50</v>
      </c>
      <c r="K31" s="35">
        <f t="shared" si="1"/>
        <v>0</v>
      </c>
    </row>
    <row r="32" spans="1:11" ht="12.75" x14ac:dyDescent="0.2">
      <c r="A32" s="6">
        <v>30</v>
      </c>
      <c r="B32" s="1" t="s">
        <v>134</v>
      </c>
      <c r="C32" s="21" t="s">
        <v>82</v>
      </c>
      <c r="D32" s="16">
        <v>46128</v>
      </c>
      <c r="E32" s="24" t="s">
        <v>135</v>
      </c>
      <c r="F32" s="1" t="s">
        <v>62</v>
      </c>
      <c r="G32" s="26">
        <v>50</v>
      </c>
      <c r="H32" s="26">
        <v>40</v>
      </c>
      <c r="I32" s="26"/>
      <c r="J32" s="26">
        <f t="shared" si="2"/>
        <v>-50</v>
      </c>
      <c r="K32" s="35">
        <f t="shared" si="1"/>
        <v>0</v>
      </c>
    </row>
    <row r="33" spans="1:11" ht="12.75" x14ac:dyDescent="0.2">
      <c r="A33" s="6">
        <v>31</v>
      </c>
      <c r="B33" s="1" t="s">
        <v>11</v>
      </c>
      <c r="C33" s="1" t="s">
        <v>81</v>
      </c>
      <c r="D33" s="22">
        <v>46218</v>
      </c>
      <c r="E33" s="25" t="s">
        <v>139</v>
      </c>
      <c r="F33" s="1" t="s">
        <v>62</v>
      </c>
      <c r="G33" s="26">
        <v>20</v>
      </c>
      <c r="H33" s="26">
        <v>10</v>
      </c>
      <c r="I33" s="26"/>
      <c r="J33" s="26">
        <f t="shared" si="2"/>
        <v>-20</v>
      </c>
      <c r="K33" s="35">
        <f t="shared" si="1"/>
        <v>0</v>
      </c>
    </row>
    <row r="34" spans="1:11" ht="12.75" x14ac:dyDescent="0.2">
      <c r="A34" s="6">
        <v>32</v>
      </c>
      <c r="B34" s="1" t="s">
        <v>16</v>
      </c>
      <c r="C34" s="1" t="s">
        <v>82</v>
      </c>
      <c r="D34" s="13">
        <v>46181</v>
      </c>
      <c r="E34" s="23" t="s">
        <v>107</v>
      </c>
      <c r="F34" s="1" t="s">
        <v>62</v>
      </c>
      <c r="G34" s="26">
        <v>40</v>
      </c>
      <c r="H34" s="26">
        <v>30</v>
      </c>
      <c r="I34" s="26"/>
      <c r="J34" s="26">
        <f t="shared" si="2"/>
        <v>-40</v>
      </c>
      <c r="K34" s="35">
        <f t="shared" si="1"/>
        <v>0</v>
      </c>
    </row>
    <row r="35" spans="1:11" ht="12.75" x14ac:dyDescent="0.2">
      <c r="A35" s="6">
        <v>33</v>
      </c>
      <c r="B35" s="1" t="s">
        <v>22</v>
      </c>
      <c r="C35" s="1" t="s">
        <v>82</v>
      </c>
      <c r="D35" s="13">
        <v>46153</v>
      </c>
      <c r="E35" s="23" t="s">
        <v>108</v>
      </c>
      <c r="F35" s="1" t="s">
        <v>62</v>
      </c>
      <c r="G35" s="26">
        <v>40</v>
      </c>
      <c r="H35" s="26">
        <v>30</v>
      </c>
      <c r="I35" s="26"/>
      <c r="J35" s="26">
        <f t="shared" si="2"/>
        <v>-40</v>
      </c>
      <c r="K35" s="35">
        <f t="shared" si="1"/>
        <v>0</v>
      </c>
    </row>
    <row r="36" spans="1:11" ht="12.75" x14ac:dyDescent="0.2">
      <c r="A36" s="6">
        <v>34</v>
      </c>
      <c r="B36" s="1" t="s">
        <v>31</v>
      </c>
      <c r="C36" s="1" t="s">
        <v>81</v>
      </c>
      <c r="D36" s="13">
        <v>46006</v>
      </c>
      <c r="E36" s="23" t="s">
        <v>109</v>
      </c>
      <c r="F36" s="1" t="s">
        <v>62</v>
      </c>
      <c r="G36" s="26">
        <v>50</v>
      </c>
      <c r="H36" s="26">
        <v>40</v>
      </c>
      <c r="I36" s="26"/>
      <c r="J36" s="26">
        <f t="shared" si="2"/>
        <v>-50</v>
      </c>
      <c r="K36" s="35">
        <f t="shared" si="1"/>
        <v>0</v>
      </c>
    </row>
    <row r="37" spans="1:11" ht="12.75" x14ac:dyDescent="0.2">
      <c r="A37" s="6">
        <v>35</v>
      </c>
      <c r="B37" s="1" t="s">
        <v>32</v>
      </c>
      <c r="C37" s="1" t="s">
        <v>81</v>
      </c>
      <c r="D37" s="13">
        <v>46125</v>
      </c>
      <c r="E37" s="23" t="s">
        <v>110</v>
      </c>
      <c r="F37" s="1" t="s">
        <v>62</v>
      </c>
      <c r="G37" s="26">
        <v>50</v>
      </c>
      <c r="H37" s="26">
        <v>40</v>
      </c>
      <c r="I37" s="26"/>
      <c r="J37" s="26">
        <f t="shared" si="2"/>
        <v>-50</v>
      </c>
      <c r="K37" s="35">
        <f t="shared" si="1"/>
        <v>0</v>
      </c>
    </row>
    <row r="38" spans="1:11" ht="12.75" x14ac:dyDescent="0.2">
      <c r="A38" s="6">
        <v>36</v>
      </c>
      <c r="B38" s="1" t="s">
        <v>40</v>
      </c>
      <c r="C38" s="1" t="s">
        <v>81</v>
      </c>
      <c r="D38" s="13">
        <v>46006</v>
      </c>
      <c r="E38" s="23" t="s">
        <v>111</v>
      </c>
      <c r="F38" s="1" t="s">
        <v>62</v>
      </c>
      <c r="G38" s="26">
        <v>50</v>
      </c>
      <c r="H38" s="26">
        <v>40</v>
      </c>
      <c r="I38" s="26"/>
      <c r="J38" s="26">
        <f t="shared" si="2"/>
        <v>-50</v>
      </c>
      <c r="K38" s="35">
        <f t="shared" si="1"/>
        <v>0</v>
      </c>
    </row>
    <row r="39" spans="1:11" ht="12.75" x14ac:dyDescent="0.2">
      <c r="A39" s="6">
        <v>37</v>
      </c>
      <c r="B39" s="1" t="s">
        <v>41</v>
      </c>
      <c r="C39" s="1" t="s">
        <v>81</v>
      </c>
      <c r="D39" s="13">
        <v>46128</v>
      </c>
      <c r="E39" s="23" t="s">
        <v>112</v>
      </c>
      <c r="F39" s="1" t="s">
        <v>62</v>
      </c>
      <c r="G39" s="26">
        <v>50</v>
      </c>
      <c r="H39" s="26">
        <v>40</v>
      </c>
      <c r="I39" s="26"/>
      <c r="J39" s="26">
        <f t="shared" si="2"/>
        <v>-50</v>
      </c>
      <c r="K39" s="35">
        <f t="shared" si="1"/>
        <v>0</v>
      </c>
    </row>
    <row r="40" spans="1:11" ht="12.75" x14ac:dyDescent="0.2">
      <c r="A40" s="6">
        <v>38</v>
      </c>
      <c r="B40" s="4" t="s">
        <v>13</v>
      </c>
      <c r="C40" s="4" t="s">
        <v>81</v>
      </c>
      <c r="D40" s="14">
        <v>46090</v>
      </c>
      <c r="E40" s="15" t="s">
        <v>113</v>
      </c>
      <c r="F40" s="4" t="s">
        <v>64</v>
      </c>
      <c r="G40" s="4">
        <v>50</v>
      </c>
      <c r="H40" s="4">
        <v>40</v>
      </c>
      <c r="I40" s="4"/>
      <c r="J40" s="4">
        <f>I40-G40</f>
        <v>-50</v>
      </c>
      <c r="K40" s="35">
        <f t="shared" si="1"/>
        <v>0</v>
      </c>
    </row>
    <row r="41" spans="1:11" ht="12.75" x14ac:dyDescent="0.2">
      <c r="A41" s="6">
        <v>39</v>
      </c>
      <c r="B41" s="4" t="s">
        <v>19</v>
      </c>
      <c r="C41" s="4" t="s">
        <v>81</v>
      </c>
      <c r="D41" s="14">
        <v>45962</v>
      </c>
      <c r="E41" s="15" t="s">
        <v>114</v>
      </c>
      <c r="F41" s="4" t="s">
        <v>64</v>
      </c>
      <c r="G41" s="4">
        <v>50</v>
      </c>
      <c r="H41" s="4">
        <v>40</v>
      </c>
      <c r="I41" s="4"/>
      <c r="J41" s="4">
        <f>I41-G41</f>
        <v>-50</v>
      </c>
      <c r="K41" s="35">
        <f t="shared" si="1"/>
        <v>0</v>
      </c>
    </row>
    <row r="42" spans="1:11" ht="12.75" x14ac:dyDescent="0.2">
      <c r="A42" s="6">
        <v>40</v>
      </c>
      <c r="B42" s="4" t="s">
        <v>24</v>
      </c>
      <c r="C42" s="4" t="str">
        <f>VLOOKUP(B42,'[1]Media &amp; Liberal Arts'!$A:$J,2,0)</f>
        <v>AM2PM</v>
      </c>
      <c r="D42" s="14">
        <f>VLOOKUP(B42,'[1]Media &amp; Liberal Arts'!$A:$J,3,0)</f>
        <v>46121</v>
      </c>
      <c r="E42" s="15" t="s">
        <v>115</v>
      </c>
      <c r="F42" s="4" t="s">
        <v>66</v>
      </c>
      <c r="G42" s="4">
        <v>50</v>
      </c>
      <c r="H42" s="4">
        <v>40</v>
      </c>
      <c r="I42" s="4"/>
      <c r="J42" s="4">
        <f>I42-G42</f>
        <v>-50</v>
      </c>
      <c r="K42" s="35">
        <f t="shared" si="1"/>
        <v>0</v>
      </c>
    </row>
    <row r="43" spans="1:11" ht="12.75" x14ac:dyDescent="0.2">
      <c r="A43" s="6">
        <v>41</v>
      </c>
      <c r="B43" s="4" t="s">
        <v>33</v>
      </c>
      <c r="C43" s="4" t="str">
        <f>VLOOKUP(B43,'[1]Media &amp; Liberal Arts'!$A:$J,2,0)</f>
        <v>SKS Enterprises</v>
      </c>
      <c r="D43" s="14">
        <f>VLOOKUP(B43,'[1]Media &amp; Liberal Arts'!$A:$J,3,0)</f>
        <v>46065</v>
      </c>
      <c r="E43" s="15" t="s">
        <v>116</v>
      </c>
      <c r="F43" s="4" t="s">
        <v>66</v>
      </c>
      <c r="G43" s="4">
        <v>50</v>
      </c>
      <c r="H43" s="4">
        <v>40</v>
      </c>
      <c r="I43" s="4"/>
      <c r="J43" s="4">
        <f t="shared" ref="J43:J45" si="3">I43-G43</f>
        <v>-50</v>
      </c>
      <c r="K43" s="35">
        <f t="shared" si="1"/>
        <v>0</v>
      </c>
    </row>
    <row r="44" spans="1:11" ht="12.75" x14ac:dyDescent="0.2">
      <c r="A44" s="6">
        <v>42</v>
      </c>
      <c r="B44" s="4" t="s">
        <v>39</v>
      </c>
      <c r="C44" s="4" t="str">
        <f>VLOOKUP(B44,'[1]Media &amp; Liberal Arts'!$A:$J,2,0)</f>
        <v>SKS Enterprises</v>
      </c>
      <c r="D44" s="14">
        <f>VLOOKUP(B44,'[1]Media &amp; Liberal Arts'!$A:$J,3,0)</f>
        <v>46020</v>
      </c>
      <c r="E44" s="15" t="s">
        <v>117</v>
      </c>
      <c r="F44" s="4" t="s">
        <v>66</v>
      </c>
      <c r="G44" s="4">
        <v>50</v>
      </c>
      <c r="H44" s="4">
        <v>40</v>
      </c>
      <c r="I44" s="4"/>
      <c r="J44" s="4">
        <f t="shared" si="3"/>
        <v>-50</v>
      </c>
      <c r="K44" s="35">
        <f t="shared" si="1"/>
        <v>0</v>
      </c>
    </row>
    <row r="45" spans="1:11" ht="12.75" x14ac:dyDescent="0.2">
      <c r="A45" s="6">
        <v>43</v>
      </c>
      <c r="B45" s="17" t="s">
        <v>148</v>
      </c>
      <c r="C45" s="17" t="s">
        <v>81</v>
      </c>
      <c r="D45" s="18">
        <v>46118</v>
      </c>
      <c r="E45" s="19" t="s">
        <v>149</v>
      </c>
      <c r="F45" s="4" t="s">
        <v>66</v>
      </c>
      <c r="G45" s="4">
        <v>25</v>
      </c>
      <c r="H45" s="4">
        <v>20</v>
      </c>
      <c r="I45" s="4"/>
      <c r="J45" s="4">
        <f t="shared" si="3"/>
        <v>-25</v>
      </c>
      <c r="K45" s="35">
        <f t="shared" si="1"/>
        <v>0</v>
      </c>
    </row>
    <row r="46" spans="1:11" ht="12.75" x14ac:dyDescent="0.2">
      <c r="A46" s="6">
        <v>44</v>
      </c>
      <c r="B46" s="4" t="s">
        <v>15</v>
      </c>
      <c r="C46" s="4" t="s">
        <v>81</v>
      </c>
      <c r="D46" s="14">
        <v>46013</v>
      </c>
      <c r="E46" s="15" t="s">
        <v>118</v>
      </c>
      <c r="F46" s="4" t="s">
        <v>65</v>
      </c>
      <c r="G46" s="4">
        <v>40</v>
      </c>
      <c r="H46" s="4">
        <v>30</v>
      </c>
      <c r="I46" s="4"/>
      <c r="J46" s="4">
        <f>I46-G46</f>
        <v>-40</v>
      </c>
      <c r="K46" s="35">
        <f t="shared" si="1"/>
        <v>0</v>
      </c>
    </row>
    <row r="47" spans="1:11" ht="12.75" x14ac:dyDescent="0.2">
      <c r="A47" s="6">
        <v>45</v>
      </c>
      <c r="B47" s="4" t="s">
        <v>21</v>
      </c>
      <c r="C47" s="4" t="s">
        <v>81</v>
      </c>
      <c r="D47" s="14">
        <v>46097</v>
      </c>
      <c r="E47" s="15" t="s">
        <v>119</v>
      </c>
      <c r="F47" s="4" t="s">
        <v>65</v>
      </c>
      <c r="G47" s="4">
        <v>40</v>
      </c>
      <c r="H47" s="4">
        <v>30</v>
      </c>
      <c r="I47" s="4"/>
      <c r="J47" s="4">
        <f>I47-G47</f>
        <v>-40</v>
      </c>
      <c r="K47" s="35">
        <f t="shared" si="1"/>
        <v>0</v>
      </c>
    </row>
    <row r="48" spans="1:11" ht="12.75" x14ac:dyDescent="0.2">
      <c r="A48" s="6">
        <v>46</v>
      </c>
      <c r="B48" s="17" t="s">
        <v>150</v>
      </c>
      <c r="C48" s="17" t="s">
        <v>81</v>
      </c>
      <c r="D48" s="18">
        <v>46118</v>
      </c>
      <c r="E48" s="19" t="s">
        <v>151</v>
      </c>
      <c r="F48" s="4" t="s">
        <v>65</v>
      </c>
      <c r="G48" s="4">
        <v>20</v>
      </c>
      <c r="H48" s="4">
        <v>15</v>
      </c>
      <c r="I48" s="4"/>
      <c r="J48" s="4">
        <f>I48-G48</f>
        <v>-20</v>
      </c>
      <c r="K48" s="35">
        <f t="shared" si="1"/>
        <v>0</v>
      </c>
    </row>
    <row r="49" spans="1:11" ht="12.75" x14ac:dyDescent="0.2">
      <c r="A49" s="6">
        <v>47</v>
      </c>
      <c r="B49" s="4" t="s">
        <v>44</v>
      </c>
      <c r="C49" s="4" t="s">
        <v>81</v>
      </c>
      <c r="D49" s="14">
        <v>46090</v>
      </c>
      <c r="E49" s="15" t="s">
        <v>120</v>
      </c>
      <c r="F49" s="4" t="s">
        <v>67</v>
      </c>
      <c r="G49" s="4">
        <v>30</v>
      </c>
      <c r="H49" s="4">
        <v>20</v>
      </c>
      <c r="I49" s="4"/>
      <c r="J49" s="4">
        <f>I49-G49</f>
        <v>-30</v>
      </c>
      <c r="K49" s="35">
        <f t="shared" si="1"/>
        <v>0</v>
      </c>
    </row>
    <row r="50" spans="1:11" ht="12.75" x14ac:dyDescent="0.2">
      <c r="A50" s="6">
        <v>48</v>
      </c>
      <c r="B50" s="4" t="s">
        <v>45</v>
      </c>
      <c r="C50" s="4" t="s">
        <v>81</v>
      </c>
      <c r="D50" s="14">
        <v>46013</v>
      </c>
      <c r="E50" s="15" t="s">
        <v>121</v>
      </c>
      <c r="F50" s="4" t="s">
        <v>67</v>
      </c>
      <c r="G50" s="4">
        <v>30</v>
      </c>
      <c r="H50" s="4">
        <v>20</v>
      </c>
      <c r="I50" s="4"/>
      <c r="J50" s="4">
        <f t="shared" ref="J50:J65" si="4">I50-G50</f>
        <v>-30</v>
      </c>
      <c r="K50" s="35">
        <f t="shared" si="1"/>
        <v>0</v>
      </c>
    </row>
    <row r="51" spans="1:11" ht="12.75" x14ac:dyDescent="0.2">
      <c r="A51" s="6">
        <v>49</v>
      </c>
      <c r="B51" s="4" t="s">
        <v>46</v>
      </c>
      <c r="C51" s="4" t="s">
        <v>81</v>
      </c>
      <c r="D51" s="14">
        <v>46147</v>
      </c>
      <c r="E51" s="15" t="s">
        <v>122</v>
      </c>
      <c r="F51" s="4" t="s">
        <v>67</v>
      </c>
      <c r="G51" s="4">
        <v>30</v>
      </c>
      <c r="H51" s="4">
        <v>20</v>
      </c>
      <c r="I51" s="4"/>
      <c r="J51" s="4">
        <f t="shared" si="4"/>
        <v>-30</v>
      </c>
      <c r="K51" s="35">
        <f t="shared" si="1"/>
        <v>0</v>
      </c>
    </row>
    <row r="52" spans="1:11" ht="12.75" x14ac:dyDescent="0.2">
      <c r="A52" s="6">
        <v>50</v>
      </c>
      <c r="B52" s="4" t="s">
        <v>47</v>
      </c>
      <c r="C52" s="4" t="s">
        <v>82</v>
      </c>
      <c r="D52" s="14">
        <v>46111</v>
      </c>
      <c r="E52" s="15" t="s">
        <v>123</v>
      </c>
      <c r="F52" s="4" t="s">
        <v>67</v>
      </c>
      <c r="G52" s="4">
        <v>30</v>
      </c>
      <c r="H52" s="4">
        <v>20</v>
      </c>
      <c r="I52" s="4"/>
      <c r="J52" s="4">
        <f t="shared" si="4"/>
        <v>-30</v>
      </c>
      <c r="K52" s="35">
        <f t="shared" si="1"/>
        <v>0</v>
      </c>
    </row>
    <row r="53" spans="1:11" ht="12.75" x14ac:dyDescent="0.2">
      <c r="A53" s="6">
        <v>51</v>
      </c>
      <c r="B53" s="4" t="s">
        <v>48</v>
      </c>
      <c r="C53" s="4" t="s">
        <v>82</v>
      </c>
      <c r="D53" s="14">
        <v>46112</v>
      </c>
      <c r="E53" s="15" t="s">
        <v>124</v>
      </c>
      <c r="F53" s="4" t="s">
        <v>67</v>
      </c>
      <c r="G53" s="4">
        <v>30</v>
      </c>
      <c r="H53" s="4">
        <v>20</v>
      </c>
      <c r="I53" s="4"/>
      <c r="J53" s="4">
        <f t="shared" si="4"/>
        <v>-30</v>
      </c>
      <c r="K53" s="35">
        <f t="shared" si="1"/>
        <v>0</v>
      </c>
    </row>
    <row r="54" spans="1:11" ht="12.75" x14ac:dyDescent="0.2">
      <c r="A54" s="6">
        <v>52</v>
      </c>
      <c r="B54" s="4" t="s">
        <v>49</v>
      </c>
      <c r="C54" s="4" t="s">
        <v>81</v>
      </c>
      <c r="D54" s="14">
        <v>46099</v>
      </c>
      <c r="E54" s="15" t="s">
        <v>125</v>
      </c>
      <c r="F54" s="4" t="s">
        <v>67</v>
      </c>
      <c r="G54" s="4">
        <v>30</v>
      </c>
      <c r="H54" s="4">
        <v>20</v>
      </c>
      <c r="I54" s="4"/>
      <c r="J54" s="4">
        <f t="shared" si="4"/>
        <v>-30</v>
      </c>
      <c r="K54" s="35">
        <f t="shared" si="1"/>
        <v>0</v>
      </c>
    </row>
    <row r="55" spans="1:11" ht="12.75" x14ac:dyDescent="0.2">
      <c r="A55" s="6">
        <v>53</v>
      </c>
      <c r="B55" s="4" t="s">
        <v>51</v>
      </c>
      <c r="C55" s="4" t="s">
        <v>81</v>
      </c>
      <c r="D55" s="14">
        <v>46162</v>
      </c>
      <c r="E55" s="15" t="s">
        <v>126</v>
      </c>
      <c r="F55" s="4" t="s">
        <v>67</v>
      </c>
      <c r="G55" s="4">
        <v>30</v>
      </c>
      <c r="H55" s="4">
        <v>20</v>
      </c>
      <c r="I55" s="4"/>
      <c r="J55" s="4">
        <f t="shared" si="4"/>
        <v>-30</v>
      </c>
      <c r="K55" s="35">
        <f t="shared" si="1"/>
        <v>0</v>
      </c>
    </row>
    <row r="56" spans="1:11" ht="12.75" x14ac:dyDescent="0.2">
      <c r="A56" s="6">
        <v>54</v>
      </c>
      <c r="B56" s="4" t="s">
        <v>52</v>
      </c>
      <c r="C56" s="4" t="s">
        <v>81</v>
      </c>
      <c r="D56" s="14">
        <v>46090</v>
      </c>
      <c r="E56" s="15" t="s">
        <v>127</v>
      </c>
      <c r="F56" s="4" t="s">
        <v>67</v>
      </c>
      <c r="G56" s="4">
        <v>20</v>
      </c>
      <c r="H56" s="4">
        <v>10</v>
      </c>
      <c r="I56" s="4"/>
      <c r="J56" s="4">
        <f t="shared" si="4"/>
        <v>-20</v>
      </c>
      <c r="K56" s="35">
        <f t="shared" si="1"/>
        <v>0</v>
      </c>
    </row>
    <row r="57" spans="1:11" ht="12.75" x14ac:dyDescent="0.2">
      <c r="A57" s="6">
        <v>55</v>
      </c>
      <c r="B57" s="4" t="s">
        <v>53</v>
      </c>
      <c r="C57" s="4" t="s">
        <v>81</v>
      </c>
      <c r="D57" s="14">
        <v>46147</v>
      </c>
      <c r="E57" s="15" t="s">
        <v>128</v>
      </c>
      <c r="F57" s="4" t="s">
        <v>67</v>
      </c>
      <c r="G57" s="4">
        <v>30</v>
      </c>
      <c r="H57" s="4">
        <v>20</v>
      </c>
      <c r="I57" s="4"/>
      <c r="J57" s="4">
        <f t="shared" si="4"/>
        <v>-30</v>
      </c>
      <c r="K57" s="35">
        <f t="shared" si="1"/>
        <v>0</v>
      </c>
    </row>
    <row r="58" spans="1:11" ht="12.75" x14ac:dyDescent="0.2">
      <c r="A58" s="6">
        <v>56</v>
      </c>
      <c r="B58" s="4" t="s">
        <v>54</v>
      </c>
      <c r="C58" s="4" t="s">
        <v>81</v>
      </c>
      <c r="D58" s="14">
        <v>46020</v>
      </c>
      <c r="E58" s="15" t="s">
        <v>129</v>
      </c>
      <c r="F58" s="4" t="s">
        <v>67</v>
      </c>
      <c r="G58" s="4">
        <v>30</v>
      </c>
      <c r="H58" s="4">
        <v>20</v>
      </c>
      <c r="I58" s="4"/>
      <c r="J58" s="4">
        <f t="shared" si="4"/>
        <v>-30</v>
      </c>
      <c r="K58" s="35">
        <f t="shared" si="1"/>
        <v>0</v>
      </c>
    </row>
    <row r="59" spans="1:11" ht="12.75" x14ac:dyDescent="0.2">
      <c r="A59" s="6">
        <v>57</v>
      </c>
      <c r="B59" s="4" t="s">
        <v>55</v>
      </c>
      <c r="C59" s="4" t="s">
        <v>81</v>
      </c>
      <c r="D59" s="14">
        <v>46167</v>
      </c>
      <c r="E59" s="15" t="s">
        <v>130</v>
      </c>
      <c r="F59" s="4" t="s">
        <v>67</v>
      </c>
      <c r="G59" s="4">
        <v>30</v>
      </c>
      <c r="H59" s="4">
        <v>20</v>
      </c>
      <c r="I59" s="4"/>
      <c r="J59" s="4">
        <f t="shared" si="4"/>
        <v>-30</v>
      </c>
      <c r="K59" s="35">
        <f t="shared" si="1"/>
        <v>0</v>
      </c>
    </row>
    <row r="60" spans="1:11" ht="12.75" x14ac:dyDescent="0.2">
      <c r="A60" s="6">
        <v>58</v>
      </c>
      <c r="B60" s="4" t="s">
        <v>56</v>
      </c>
      <c r="C60" s="4" t="s">
        <v>81</v>
      </c>
      <c r="D60" s="14">
        <v>46125</v>
      </c>
      <c r="E60" s="15" t="s">
        <v>131</v>
      </c>
      <c r="F60" s="4" t="s">
        <v>67</v>
      </c>
      <c r="G60" s="4">
        <v>30</v>
      </c>
      <c r="H60" s="4">
        <v>20</v>
      </c>
      <c r="I60" s="4"/>
      <c r="J60" s="4">
        <f t="shared" si="4"/>
        <v>-30</v>
      </c>
      <c r="K60" s="35">
        <f t="shared" si="1"/>
        <v>0</v>
      </c>
    </row>
    <row r="61" spans="1:11" ht="12.75" x14ac:dyDescent="0.2">
      <c r="A61" s="6">
        <v>59</v>
      </c>
      <c r="B61" s="4" t="s">
        <v>57</v>
      </c>
      <c r="C61" s="4" t="s">
        <v>81</v>
      </c>
      <c r="D61" s="14">
        <v>46175</v>
      </c>
      <c r="E61" s="15" t="s">
        <v>132</v>
      </c>
      <c r="F61" s="4" t="s">
        <v>67</v>
      </c>
      <c r="G61" s="4">
        <v>30</v>
      </c>
      <c r="H61" s="4">
        <v>20</v>
      </c>
      <c r="I61" s="4"/>
      <c r="J61" s="4">
        <f t="shared" si="4"/>
        <v>-30</v>
      </c>
      <c r="K61" s="35">
        <f t="shared" si="1"/>
        <v>0</v>
      </c>
    </row>
    <row r="62" spans="1:11" ht="12.75" x14ac:dyDescent="0.2">
      <c r="A62" s="6">
        <v>60</v>
      </c>
      <c r="B62" s="4" t="s">
        <v>58</v>
      </c>
      <c r="C62" s="17" t="s">
        <v>82</v>
      </c>
      <c r="D62" s="18">
        <v>46119</v>
      </c>
      <c r="E62" s="19" t="s">
        <v>136</v>
      </c>
      <c r="F62" s="4" t="s">
        <v>67</v>
      </c>
      <c r="G62" s="4">
        <v>30</v>
      </c>
      <c r="H62" s="4">
        <v>20</v>
      </c>
      <c r="I62" s="4"/>
      <c r="J62" s="4">
        <f t="shared" si="4"/>
        <v>-30</v>
      </c>
      <c r="K62" s="35">
        <f t="shared" si="1"/>
        <v>0</v>
      </c>
    </row>
    <row r="63" spans="1:11" ht="12.75" x14ac:dyDescent="0.2">
      <c r="A63" s="6">
        <v>61</v>
      </c>
      <c r="B63" s="4" t="s">
        <v>59</v>
      </c>
      <c r="C63" s="17" t="s">
        <v>81</v>
      </c>
      <c r="D63" s="18">
        <v>45985</v>
      </c>
      <c r="E63" s="19" t="s">
        <v>137</v>
      </c>
      <c r="F63" s="4" t="s">
        <v>67</v>
      </c>
      <c r="G63" s="4">
        <v>30</v>
      </c>
      <c r="H63" s="4">
        <v>20</v>
      </c>
      <c r="I63" s="4"/>
      <c r="J63" s="4">
        <f t="shared" si="4"/>
        <v>-30</v>
      </c>
      <c r="K63" s="35">
        <f t="shared" si="1"/>
        <v>0</v>
      </c>
    </row>
    <row r="64" spans="1:11" ht="12.75" x14ac:dyDescent="0.2">
      <c r="A64" s="6">
        <v>62</v>
      </c>
      <c r="B64" s="4" t="s">
        <v>50</v>
      </c>
      <c r="C64" s="4" t="s">
        <v>81</v>
      </c>
      <c r="D64" s="14">
        <v>45705</v>
      </c>
      <c r="E64" s="15" t="s">
        <v>133</v>
      </c>
      <c r="F64" s="4" t="s">
        <v>67</v>
      </c>
      <c r="G64" s="4">
        <v>30</v>
      </c>
      <c r="H64" s="4">
        <v>20</v>
      </c>
      <c r="I64" s="4"/>
      <c r="J64" s="4">
        <f t="shared" si="4"/>
        <v>-30</v>
      </c>
      <c r="K64" s="35">
        <f t="shared" si="1"/>
        <v>0</v>
      </c>
    </row>
    <row r="65" spans="1:11" ht="12.75" x14ac:dyDescent="0.2">
      <c r="A65" s="6">
        <v>63</v>
      </c>
      <c r="B65" s="4" t="s">
        <v>154</v>
      </c>
      <c r="C65" s="4" t="s">
        <v>81</v>
      </c>
      <c r="D65" s="14">
        <v>46054</v>
      </c>
      <c r="E65" s="39" t="s">
        <v>155</v>
      </c>
      <c r="F65" s="4" t="s">
        <v>67</v>
      </c>
      <c r="G65" s="4">
        <v>40</v>
      </c>
      <c r="H65" s="4">
        <v>20</v>
      </c>
      <c r="I65" s="4"/>
      <c r="J65" s="4">
        <f t="shared" si="4"/>
        <v>-40</v>
      </c>
      <c r="K65" s="35">
        <f t="shared" si="1"/>
        <v>0</v>
      </c>
    </row>
    <row r="66" spans="1:11" ht="12.75" x14ac:dyDescent="0.2">
      <c r="A66" s="42" t="s">
        <v>60</v>
      </c>
      <c r="B66" s="42"/>
      <c r="C66" s="42"/>
      <c r="D66" s="42"/>
      <c r="E66" s="42"/>
      <c r="F66" s="42"/>
      <c r="G66" s="28">
        <f>SUM(G3:G65)</f>
        <v>2585</v>
      </c>
      <c r="H66" s="28">
        <f>SUM(H3:H65)</f>
        <v>1975</v>
      </c>
      <c r="I66" s="28">
        <f>SUM(I3:I64)</f>
        <v>0</v>
      </c>
      <c r="J66" s="28">
        <f>SUM(J3:J65)</f>
        <v>-2585</v>
      </c>
      <c r="K66" s="36">
        <f>I66/G66</f>
        <v>0</v>
      </c>
    </row>
  </sheetData>
  <mergeCells count="3">
    <mergeCell ref="M3:P3"/>
    <mergeCell ref="A1:K1"/>
    <mergeCell ref="A66:F66"/>
  </mergeCells>
  <hyperlinks>
    <hyperlink ref="E6" r:id="rId1" xr:uid="{AA783B7A-58A0-4D91-84A7-F15EBD1CC9CE}"/>
    <hyperlink ref="E27" r:id="rId2" xr:uid="{4062BA76-E18E-4827-B6B1-B530F991B62F}"/>
    <hyperlink ref="E28" r:id="rId3" xr:uid="{57B5D209-C332-4A42-864F-17062FB3D013}"/>
    <hyperlink ref="E33" r:id="rId4" xr:uid="{1BEC955F-B89F-424B-9511-4B2EAF916BE7}"/>
    <hyperlink ref="E65" r:id="rId5" xr:uid="{31A5808C-9157-4CF7-9B08-B5A734B82DC0}"/>
  </hyperlinks>
  <pageMargins left="0.7" right="0.7" top="0.75" bottom="0.75" header="0.3" footer="0.3"/>
  <ignoredErrors>
    <ignoredError sqref="K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0255-6C01-4FDA-959B-310F92225D44}">
  <dimension ref="A1:K30"/>
  <sheetViews>
    <sheetView tabSelected="1" topLeftCell="A2" workbookViewId="0">
      <selection activeCell="B3" sqref="B3"/>
    </sheetView>
  </sheetViews>
  <sheetFormatPr defaultRowHeight="15" x14ac:dyDescent="0.25"/>
  <cols>
    <col min="1" max="1" width="6.85546875" bestFit="1" customWidth="1"/>
    <col min="2" max="2" width="18.7109375" bestFit="1" customWidth="1"/>
    <col min="3" max="4" width="18.7109375" customWidth="1"/>
    <col min="5" max="5" width="32.140625" customWidth="1"/>
    <col min="6" max="6" width="12.7109375" bestFit="1" customWidth="1"/>
    <col min="7" max="7" width="8.85546875" bestFit="1" customWidth="1"/>
    <col min="8" max="8" width="15.85546875" bestFit="1" customWidth="1"/>
    <col min="9" max="9" width="10.42578125" bestFit="1" customWidth="1"/>
    <col min="10" max="10" width="9.5703125" bestFit="1" customWidth="1"/>
    <col min="11" max="11" width="12.140625" bestFit="1" customWidth="1"/>
  </cols>
  <sheetData>
    <row r="1" spans="1:11" x14ac:dyDescent="0.25">
      <c r="A1" s="41" t="s">
        <v>76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5" t="s">
        <v>68</v>
      </c>
      <c r="B2" s="5" t="s">
        <v>0</v>
      </c>
      <c r="C2" s="5" t="s">
        <v>78</v>
      </c>
      <c r="D2" s="5" t="s">
        <v>79</v>
      </c>
      <c r="E2" s="5" t="s">
        <v>80</v>
      </c>
      <c r="F2" s="5" t="s">
        <v>61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</row>
    <row r="3" spans="1:11" x14ac:dyDescent="0.25">
      <c r="A3" s="6">
        <v>1</v>
      </c>
      <c r="B3" s="6" t="s">
        <v>7</v>
      </c>
      <c r="C3" s="6" t="s">
        <v>81</v>
      </c>
      <c r="D3" s="11">
        <v>46106</v>
      </c>
      <c r="E3" s="12" t="s">
        <v>83</v>
      </c>
      <c r="F3" s="6" t="s">
        <v>63</v>
      </c>
      <c r="G3" s="6">
        <v>50</v>
      </c>
      <c r="H3" s="6">
        <v>40</v>
      </c>
      <c r="I3" s="6"/>
      <c r="J3" s="6">
        <f>I3-G3</f>
        <v>-50</v>
      </c>
      <c r="K3" s="35">
        <f>I3/G3</f>
        <v>0</v>
      </c>
    </row>
    <row r="4" spans="1:11" x14ac:dyDescent="0.25">
      <c r="A4" s="6">
        <v>2</v>
      </c>
      <c r="B4" s="6" t="s">
        <v>8</v>
      </c>
      <c r="C4" s="6" t="s">
        <v>81</v>
      </c>
      <c r="D4" s="11">
        <v>46020</v>
      </c>
      <c r="E4" s="12" t="s">
        <v>84</v>
      </c>
      <c r="F4" s="6" t="s">
        <v>63</v>
      </c>
      <c r="G4" s="6">
        <v>50</v>
      </c>
      <c r="H4" s="6">
        <v>40</v>
      </c>
      <c r="I4" s="6"/>
      <c r="J4" s="6">
        <f t="shared" ref="J4:J29" si="0">I4-G4</f>
        <v>-50</v>
      </c>
      <c r="K4" s="35">
        <f t="shared" ref="K4:K29" si="1">I4/G4</f>
        <v>0</v>
      </c>
    </row>
    <row r="5" spans="1:11" x14ac:dyDescent="0.25">
      <c r="A5" s="6">
        <v>3</v>
      </c>
      <c r="B5" s="6" t="s">
        <v>9</v>
      </c>
      <c r="C5" s="6" t="s">
        <v>81</v>
      </c>
      <c r="D5" s="11">
        <v>45985</v>
      </c>
      <c r="E5" s="12" t="s">
        <v>85</v>
      </c>
      <c r="F5" s="6" t="s">
        <v>63</v>
      </c>
      <c r="G5" s="6">
        <v>50</v>
      </c>
      <c r="H5" s="6">
        <v>40</v>
      </c>
      <c r="I5" s="6"/>
      <c r="J5" s="6">
        <f t="shared" si="0"/>
        <v>-50</v>
      </c>
      <c r="K5" s="35">
        <f t="shared" si="1"/>
        <v>0</v>
      </c>
    </row>
    <row r="6" spans="1:11" x14ac:dyDescent="0.25">
      <c r="A6" s="6">
        <v>4</v>
      </c>
      <c r="B6" s="6" t="s">
        <v>12</v>
      </c>
      <c r="C6" s="17" t="s">
        <v>81</v>
      </c>
      <c r="D6" s="18">
        <v>46147</v>
      </c>
      <c r="E6" s="20" t="s">
        <v>138</v>
      </c>
      <c r="F6" s="6" t="s">
        <v>63</v>
      </c>
      <c r="G6" s="6">
        <v>50</v>
      </c>
      <c r="H6" s="6">
        <v>40</v>
      </c>
      <c r="I6" s="6"/>
      <c r="J6" s="6">
        <f t="shared" si="0"/>
        <v>-50</v>
      </c>
      <c r="K6" s="35">
        <f t="shared" si="1"/>
        <v>0</v>
      </c>
    </row>
    <row r="7" spans="1:11" x14ac:dyDescent="0.25">
      <c r="A7" s="6">
        <v>5</v>
      </c>
      <c r="B7" s="6" t="s">
        <v>14</v>
      </c>
      <c r="C7" s="6" t="s">
        <v>81</v>
      </c>
      <c r="D7" s="11">
        <v>46125</v>
      </c>
      <c r="E7" s="12" t="s">
        <v>86</v>
      </c>
      <c r="F7" s="6" t="s">
        <v>63</v>
      </c>
      <c r="G7" s="6">
        <v>50</v>
      </c>
      <c r="H7" s="6">
        <v>40</v>
      </c>
      <c r="I7" s="6"/>
      <c r="J7" s="6">
        <f t="shared" si="0"/>
        <v>-50</v>
      </c>
      <c r="K7" s="35">
        <f t="shared" si="1"/>
        <v>0</v>
      </c>
    </row>
    <row r="8" spans="1:11" x14ac:dyDescent="0.25">
      <c r="A8" s="6">
        <v>6</v>
      </c>
      <c r="B8" s="6" t="s">
        <v>17</v>
      </c>
      <c r="C8" s="6" t="s">
        <v>81</v>
      </c>
      <c r="D8" s="11">
        <v>46128</v>
      </c>
      <c r="E8" s="12" t="s">
        <v>87</v>
      </c>
      <c r="F8" s="6" t="s">
        <v>63</v>
      </c>
      <c r="G8" s="6">
        <v>50</v>
      </c>
      <c r="H8" s="6">
        <v>40</v>
      </c>
      <c r="I8" s="6"/>
      <c r="J8" s="6">
        <f t="shared" si="0"/>
        <v>-50</v>
      </c>
      <c r="K8" s="35">
        <f t="shared" si="1"/>
        <v>0</v>
      </c>
    </row>
    <row r="9" spans="1:11" x14ac:dyDescent="0.25">
      <c r="A9" s="6">
        <v>7</v>
      </c>
      <c r="B9" s="6" t="s">
        <v>18</v>
      </c>
      <c r="C9" s="6" t="s">
        <v>81</v>
      </c>
      <c r="D9" s="11">
        <v>45352</v>
      </c>
      <c r="E9" s="12" t="s">
        <v>88</v>
      </c>
      <c r="F9" s="6" t="s">
        <v>63</v>
      </c>
      <c r="G9" s="6">
        <v>50</v>
      </c>
      <c r="H9" s="6">
        <v>40</v>
      </c>
      <c r="I9" s="6"/>
      <c r="J9" s="6">
        <f t="shared" si="0"/>
        <v>-50</v>
      </c>
      <c r="K9" s="35">
        <f t="shared" si="1"/>
        <v>0</v>
      </c>
    </row>
    <row r="10" spans="1:11" x14ac:dyDescent="0.25">
      <c r="A10" s="6">
        <v>8</v>
      </c>
      <c r="B10" s="6" t="s">
        <v>20</v>
      </c>
      <c r="C10" s="6" t="s">
        <v>81</v>
      </c>
      <c r="D10" s="11">
        <v>46034</v>
      </c>
      <c r="E10" s="12" t="s">
        <v>89</v>
      </c>
      <c r="F10" s="6" t="s">
        <v>63</v>
      </c>
      <c r="G10" s="6">
        <v>50</v>
      </c>
      <c r="H10" s="6">
        <v>40</v>
      </c>
      <c r="I10" s="6"/>
      <c r="J10" s="6">
        <f t="shared" si="0"/>
        <v>-50</v>
      </c>
      <c r="K10" s="35">
        <f t="shared" si="1"/>
        <v>0</v>
      </c>
    </row>
    <row r="11" spans="1:11" x14ac:dyDescent="0.25">
      <c r="A11" s="6">
        <v>9</v>
      </c>
      <c r="B11" s="6" t="s">
        <v>23</v>
      </c>
      <c r="C11" s="6" t="s">
        <v>82</v>
      </c>
      <c r="D11" s="11">
        <v>46129</v>
      </c>
      <c r="E11" s="12" t="s">
        <v>90</v>
      </c>
      <c r="F11" s="6" t="s">
        <v>63</v>
      </c>
      <c r="G11" s="6">
        <v>50</v>
      </c>
      <c r="H11" s="6">
        <v>40</v>
      </c>
      <c r="I11" s="6"/>
      <c r="J11" s="6">
        <f t="shared" si="0"/>
        <v>-50</v>
      </c>
      <c r="K11" s="35">
        <f t="shared" si="1"/>
        <v>0</v>
      </c>
    </row>
    <row r="12" spans="1:11" x14ac:dyDescent="0.25">
      <c r="A12" s="6">
        <v>10</v>
      </c>
      <c r="B12" s="6" t="s">
        <v>71</v>
      </c>
      <c r="C12" s="6" t="s">
        <v>82</v>
      </c>
      <c r="D12" s="11">
        <v>46125</v>
      </c>
      <c r="E12" s="12" t="s">
        <v>91</v>
      </c>
      <c r="F12" s="6" t="s">
        <v>63</v>
      </c>
      <c r="G12" s="6">
        <v>50</v>
      </c>
      <c r="H12" s="6">
        <v>40</v>
      </c>
      <c r="I12" s="6"/>
      <c r="J12" s="6">
        <f t="shared" si="0"/>
        <v>-50</v>
      </c>
      <c r="K12" s="35">
        <f t="shared" si="1"/>
        <v>0</v>
      </c>
    </row>
    <row r="13" spans="1:11" x14ac:dyDescent="0.25">
      <c r="A13" s="6">
        <v>10</v>
      </c>
      <c r="B13" s="6" t="s">
        <v>25</v>
      </c>
      <c r="C13" s="6" t="s">
        <v>81</v>
      </c>
      <c r="D13" s="11">
        <v>45985</v>
      </c>
      <c r="E13" s="12" t="s">
        <v>92</v>
      </c>
      <c r="F13" s="6" t="s">
        <v>63</v>
      </c>
      <c r="G13" s="6">
        <v>50</v>
      </c>
      <c r="H13" s="6">
        <v>40</v>
      </c>
      <c r="I13" s="6"/>
      <c r="J13" s="6">
        <f t="shared" si="0"/>
        <v>-50</v>
      </c>
      <c r="K13" s="35">
        <f t="shared" si="1"/>
        <v>0</v>
      </c>
    </row>
    <row r="14" spans="1:11" x14ac:dyDescent="0.25">
      <c r="A14" s="6">
        <v>11</v>
      </c>
      <c r="B14" s="6" t="s">
        <v>26</v>
      </c>
      <c r="C14" s="6" t="s">
        <v>81</v>
      </c>
      <c r="D14" s="11">
        <v>46121</v>
      </c>
      <c r="E14" s="12" t="s">
        <v>93</v>
      </c>
      <c r="F14" s="6" t="s">
        <v>63</v>
      </c>
      <c r="G14" s="6">
        <v>50</v>
      </c>
      <c r="H14" s="6">
        <v>40</v>
      </c>
      <c r="I14" s="6"/>
      <c r="J14" s="6">
        <f t="shared" si="0"/>
        <v>-50</v>
      </c>
      <c r="K14" s="35">
        <f t="shared" si="1"/>
        <v>0</v>
      </c>
    </row>
    <row r="15" spans="1:11" x14ac:dyDescent="0.25">
      <c r="A15" s="6">
        <v>12</v>
      </c>
      <c r="B15" s="6" t="s">
        <v>27</v>
      </c>
      <c r="C15" s="6" t="s">
        <v>82</v>
      </c>
      <c r="D15" s="11">
        <v>46125</v>
      </c>
      <c r="E15" s="12" t="s">
        <v>94</v>
      </c>
      <c r="F15" s="6" t="s">
        <v>63</v>
      </c>
      <c r="G15" s="6">
        <v>50</v>
      </c>
      <c r="H15" s="6">
        <v>40</v>
      </c>
      <c r="I15" s="6"/>
      <c r="J15" s="6">
        <f t="shared" si="0"/>
        <v>-50</v>
      </c>
      <c r="K15" s="35">
        <f t="shared" si="1"/>
        <v>0</v>
      </c>
    </row>
    <row r="16" spans="1:11" x14ac:dyDescent="0.25">
      <c r="A16" s="6">
        <v>13</v>
      </c>
      <c r="B16" s="6" t="s">
        <v>28</v>
      </c>
      <c r="C16" s="6" t="s">
        <v>82</v>
      </c>
      <c r="D16" s="11">
        <v>46128</v>
      </c>
      <c r="E16" s="12" t="s">
        <v>95</v>
      </c>
      <c r="F16" s="6" t="s">
        <v>63</v>
      </c>
      <c r="G16" s="6">
        <v>50</v>
      </c>
      <c r="H16" s="6">
        <v>40</v>
      </c>
      <c r="I16" s="6"/>
      <c r="J16" s="6">
        <f t="shared" si="0"/>
        <v>-50</v>
      </c>
      <c r="K16" s="35">
        <f t="shared" si="1"/>
        <v>0</v>
      </c>
    </row>
    <row r="17" spans="1:11" x14ac:dyDescent="0.25">
      <c r="A17" s="6">
        <v>14</v>
      </c>
      <c r="B17" s="6" t="s">
        <v>29</v>
      </c>
      <c r="C17" s="6" t="s">
        <v>82</v>
      </c>
      <c r="D17" s="11">
        <v>46132</v>
      </c>
      <c r="E17" s="12" t="s">
        <v>96</v>
      </c>
      <c r="F17" s="6" t="s">
        <v>63</v>
      </c>
      <c r="G17" s="6">
        <v>50</v>
      </c>
      <c r="H17" s="6">
        <v>40</v>
      </c>
      <c r="I17" s="6"/>
      <c r="J17" s="6">
        <f t="shared" si="0"/>
        <v>-50</v>
      </c>
      <c r="K17" s="35">
        <f t="shared" si="1"/>
        <v>0</v>
      </c>
    </row>
    <row r="18" spans="1:11" x14ac:dyDescent="0.25">
      <c r="A18" s="6">
        <v>15</v>
      </c>
      <c r="B18" s="6" t="s">
        <v>30</v>
      </c>
      <c r="C18" s="6" t="s">
        <v>82</v>
      </c>
      <c r="D18" s="11">
        <v>46121</v>
      </c>
      <c r="E18" s="12" t="s">
        <v>97</v>
      </c>
      <c r="F18" s="6" t="s">
        <v>63</v>
      </c>
      <c r="G18" s="6">
        <v>50</v>
      </c>
      <c r="H18" s="6">
        <v>40</v>
      </c>
      <c r="I18" s="6"/>
      <c r="J18" s="6">
        <f t="shared" si="0"/>
        <v>-50</v>
      </c>
      <c r="K18" s="35">
        <f t="shared" si="1"/>
        <v>0</v>
      </c>
    </row>
    <row r="19" spans="1:11" x14ac:dyDescent="0.25">
      <c r="A19" s="6">
        <v>16</v>
      </c>
      <c r="B19" s="6" t="s">
        <v>34</v>
      </c>
      <c r="C19" s="6" t="s">
        <v>81</v>
      </c>
      <c r="D19" s="11">
        <v>46034</v>
      </c>
      <c r="E19" s="12" t="s">
        <v>98</v>
      </c>
      <c r="F19" s="6" t="s">
        <v>63</v>
      </c>
      <c r="G19" s="6">
        <v>50</v>
      </c>
      <c r="H19" s="6">
        <v>40</v>
      </c>
      <c r="I19" s="6"/>
      <c r="J19" s="6">
        <f t="shared" si="0"/>
        <v>-50</v>
      </c>
      <c r="K19" s="35">
        <f t="shared" si="1"/>
        <v>0</v>
      </c>
    </row>
    <row r="20" spans="1:11" x14ac:dyDescent="0.25">
      <c r="A20" s="6">
        <v>17</v>
      </c>
      <c r="B20" s="6" t="s">
        <v>35</v>
      </c>
      <c r="C20" s="6" t="s">
        <v>81</v>
      </c>
      <c r="D20" s="11">
        <v>46126</v>
      </c>
      <c r="E20" s="12" t="s">
        <v>99</v>
      </c>
      <c r="F20" s="6" t="s">
        <v>63</v>
      </c>
      <c r="G20" s="6">
        <v>50</v>
      </c>
      <c r="H20" s="6">
        <v>40</v>
      </c>
      <c r="I20" s="6"/>
      <c r="J20" s="6">
        <f t="shared" si="0"/>
        <v>-50</v>
      </c>
      <c r="K20" s="35">
        <f t="shared" si="1"/>
        <v>0</v>
      </c>
    </row>
    <row r="21" spans="1:11" x14ac:dyDescent="0.25">
      <c r="A21" s="6">
        <v>18</v>
      </c>
      <c r="B21" s="6" t="s">
        <v>36</v>
      </c>
      <c r="C21" s="6" t="s">
        <v>81</v>
      </c>
      <c r="D21" s="11">
        <v>46125</v>
      </c>
      <c r="E21" s="12" t="s">
        <v>100</v>
      </c>
      <c r="F21" s="6" t="s">
        <v>63</v>
      </c>
      <c r="G21" s="6">
        <v>50</v>
      </c>
      <c r="H21" s="6">
        <v>40</v>
      </c>
      <c r="I21" s="6"/>
      <c r="J21" s="6">
        <f t="shared" si="0"/>
        <v>-50</v>
      </c>
      <c r="K21" s="35">
        <f t="shared" si="1"/>
        <v>0</v>
      </c>
    </row>
    <row r="22" spans="1:11" x14ac:dyDescent="0.25">
      <c r="A22" s="6">
        <v>19</v>
      </c>
      <c r="B22" s="6" t="s">
        <v>37</v>
      </c>
      <c r="C22" s="6" t="s">
        <v>82</v>
      </c>
      <c r="D22" s="11">
        <v>46132</v>
      </c>
      <c r="E22" s="12" t="s">
        <v>101</v>
      </c>
      <c r="F22" s="6" t="s">
        <v>63</v>
      </c>
      <c r="G22" s="6">
        <v>50</v>
      </c>
      <c r="H22" s="6">
        <v>40</v>
      </c>
      <c r="I22" s="6"/>
      <c r="J22" s="6">
        <f t="shared" si="0"/>
        <v>-50</v>
      </c>
      <c r="K22" s="35">
        <f t="shared" si="1"/>
        <v>0</v>
      </c>
    </row>
    <row r="23" spans="1:11" x14ac:dyDescent="0.25">
      <c r="A23" s="6">
        <v>20</v>
      </c>
      <c r="B23" s="6" t="s">
        <v>38</v>
      </c>
      <c r="C23" s="6" t="s">
        <v>81</v>
      </c>
      <c r="D23" s="11">
        <v>46006</v>
      </c>
      <c r="E23" s="12" t="s">
        <v>102</v>
      </c>
      <c r="F23" s="6" t="s">
        <v>63</v>
      </c>
      <c r="G23" s="6">
        <v>50</v>
      </c>
      <c r="H23" s="6">
        <v>40</v>
      </c>
      <c r="I23" s="6"/>
      <c r="J23" s="6">
        <f t="shared" si="0"/>
        <v>-50</v>
      </c>
      <c r="K23" s="35">
        <f t="shared" si="1"/>
        <v>0</v>
      </c>
    </row>
    <row r="24" spans="1:11" x14ac:dyDescent="0.25">
      <c r="A24" s="6">
        <v>21</v>
      </c>
      <c r="B24" s="6" t="s">
        <v>42</v>
      </c>
      <c r="C24" s="6" t="s">
        <v>82</v>
      </c>
      <c r="D24" s="11">
        <v>46125</v>
      </c>
      <c r="E24" s="12" t="s">
        <v>103</v>
      </c>
      <c r="F24" s="6" t="s">
        <v>63</v>
      </c>
      <c r="G24" s="6">
        <v>50</v>
      </c>
      <c r="H24" s="6">
        <v>40</v>
      </c>
      <c r="I24" s="6"/>
      <c r="J24" s="6">
        <f t="shared" si="0"/>
        <v>-50</v>
      </c>
      <c r="K24" s="35">
        <f t="shared" si="1"/>
        <v>0</v>
      </c>
    </row>
    <row r="25" spans="1:11" x14ac:dyDescent="0.25">
      <c r="A25" s="6">
        <v>22</v>
      </c>
      <c r="B25" s="6" t="s">
        <v>43</v>
      </c>
      <c r="C25" s="6" t="s">
        <v>81</v>
      </c>
      <c r="D25" s="11">
        <v>46113</v>
      </c>
      <c r="E25" s="12" t="s">
        <v>104</v>
      </c>
      <c r="F25" s="6" t="s">
        <v>63</v>
      </c>
      <c r="G25" s="6">
        <v>50</v>
      </c>
      <c r="H25" s="6">
        <v>40</v>
      </c>
      <c r="I25" s="6"/>
      <c r="J25" s="6">
        <f t="shared" si="0"/>
        <v>-50</v>
      </c>
      <c r="K25" s="35">
        <f t="shared" si="1"/>
        <v>0</v>
      </c>
    </row>
    <row r="26" spans="1:11" x14ac:dyDescent="0.25">
      <c r="A26" s="6">
        <v>23</v>
      </c>
      <c r="B26" s="6" t="s">
        <v>140</v>
      </c>
      <c r="C26" s="17" t="s">
        <v>81</v>
      </c>
      <c r="D26" s="18">
        <v>46128</v>
      </c>
      <c r="E26" s="19" t="s">
        <v>144</v>
      </c>
      <c r="F26" s="6" t="s">
        <v>63</v>
      </c>
      <c r="G26" s="6">
        <v>25</v>
      </c>
      <c r="H26" s="6">
        <v>20</v>
      </c>
      <c r="I26" s="6"/>
      <c r="J26" s="6">
        <f t="shared" si="0"/>
        <v>-25</v>
      </c>
      <c r="K26" s="35">
        <f t="shared" si="1"/>
        <v>0</v>
      </c>
    </row>
    <row r="27" spans="1:11" x14ac:dyDescent="0.25">
      <c r="A27" s="6">
        <v>24</v>
      </c>
      <c r="B27" s="6" t="s">
        <v>141</v>
      </c>
      <c r="C27" s="17" t="s">
        <v>82</v>
      </c>
      <c r="D27" s="22">
        <v>46181</v>
      </c>
      <c r="E27" s="27" t="s">
        <v>145</v>
      </c>
      <c r="F27" s="6" t="s">
        <v>63</v>
      </c>
      <c r="G27" s="6">
        <v>25</v>
      </c>
      <c r="H27" s="6">
        <v>20</v>
      </c>
      <c r="I27" s="6"/>
      <c r="J27" s="6">
        <f t="shared" si="0"/>
        <v>-25</v>
      </c>
      <c r="K27" s="35">
        <f t="shared" si="1"/>
        <v>0</v>
      </c>
    </row>
    <row r="28" spans="1:11" x14ac:dyDescent="0.25">
      <c r="A28" s="6">
        <v>25</v>
      </c>
      <c r="B28" s="6" t="s">
        <v>142</v>
      </c>
      <c r="C28" s="17" t="s">
        <v>82</v>
      </c>
      <c r="D28" s="18">
        <v>46174</v>
      </c>
      <c r="E28" s="20" t="s">
        <v>146</v>
      </c>
      <c r="F28" s="6" t="s">
        <v>63</v>
      </c>
      <c r="G28" s="6">
        <v>25</v>
      </c>
      <c r="H28" s="6">
        <v>20</v>
      </c>
      <c r="I28" s="6"/>
      <c r="J28" s="6">
        <f t="shared" si="0"/>
        <v>-25</v>
      </c>
      <c r="K28" s="35">
        <f t="shared" si="1"/>
        <v>0</v>
      </c>
    </row>
    <row r="29" spans="1:11" x14ac:dyDescent="0.25">
      <c r="A29" s="6">
        <v>26</v>
      </c>
      <c r="B29" s="6" t="s">
        <v>143</v>
      </c>
      <c r="C29" s="17" t="s">
        <v>82</v>
      </c>
      <c r="D29" s="18">
        <v>46126</v>
      </c>
      <c r="E29" s="19" t="s">
        <v>147</v>
      </c>
      <c r="F29" s="6" t="s">
        <v>63</v>
      </c>
      <c r="G29" s="6">
        <v>25</v>
      </c>
      <c r="H29" s="6">
        <v>20</v>
      </c>
      <c r="I29" s="6"/>
      <c r="J29" s="6">
        <f t="shared" si="0"/>
        <v>-25</v>
      </c>
      <c r="K29" s="35">
        <f t="shared" si="1"/>
        <v>0</v>
      </c>
    </row>
    <row r="30" spans="1:11" x14ac:dyDescent="0.25">
      <c r="A30" s="43" t="s">
        <v>60</v>
      </c>
      <c r="B30" s="43"/>
      <c r="C30" s="43"/>
      <c r="D30" s="43"/>
      <c r="E30" s="43"/>
      <c r="F30" s="43"/>
      <c r="G30" s="5">
        <f>SUM(G3:G29)</f>
        <v>1250</v>
      </c>
      <c r="H30" s="5">
        <f>SUM(H3:H29)</f>
        <v>1000</v>
      </c>
      <c r="I30" s="5">
        <f>SUM(I3:I25)</f>
        <v>0</v>
      </c>
      <c r="J30" s="5">
        <f>SUM(J3:J29)</f>
        <v>-1250</v>
      </c>
      <c r="K30" s="9">
        <f>I30/G30</f>
        <v>0</v>
      </c>
    </row>
  </sheetData>
  <mergeCells count="2">
    <mergeCell ref="A30:F30"/>
    <mergeCell ref="A1:K1"/>
  </mergeCells>
  <hyperlinks>
    <hyperlink ref="E6" r:id="rId1" xr:uid="{AF8EB780-AE4F-440B-83D3-211BF9D055C2}"/>
    <hyperlink ref="E27" r:id="rId2" xr:uid="{F88F35C3-EC4D-4A56-8D53-8956E78B6ACC}"/>
    <hyperlink ref="E28" r:id="rId3" xr:uid="{8DA1A6CB-DBA7-4909-BCC0-6A0F11818A3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E206-E35D-445C-9253-EC8373ACE259}">
  <dimension ref="A1:K13"/>
  <sheetViews>
    <sheetView workbookViewId="0">
      <selection activeCell="H7" sqref="H7"/>
    </sheetView>
  </sheetViews>
  <sheetFormatPr defaultRowHeight="15" x14ac:dyDescent="0.25"/>
  <cols>
    <col min="1" max="1" width="4.5703125" bestFit="1" customWidth="1"/>
    <col min="2" max="2" width="15.7109375" bestFit="1" customWidth="1"/>
    <col min="3" max="3" width="13.140625" hidden="1" customWidth="1"/>
    <col min="4" max="4" width="10.140625" hidden="1" customWidth="1"/>
    <col min="5" max="5" width="29.85546875" hidden="1" customWidth="1"/>
    <col min="6" max="6" width="11.140625" bestFit="1" customWidth="1"/>
    <col min="7" max="7" width="6.5703125" bestFit="1" customWidth="1"/>
    <col min="8" max="8" width="13.5703125" bestFit="1" customWidth="1"/>
    <col min="9" max="9" width="8.140625" bestFit="1" customWidth="1"/>
    <col min="10" max="10" width="7.28515625" bestFit="1" customWidth="1"/>
    <col min="11" max="11" width="9.85546875" bestFit="1" customWidth="1"/>
  </cols>
  <sheetData>
    <row r="1" spans="1:11" x14ac:dyDescent="0.25">
      <c r="A1" s="41" t="s">
        <v>73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3" t="s">
        <v>68</v>
      </c>
      <c r="B2" s="2" t="s">
        <v>0</v>
      </c>
      <c r="C2" s="5" t="s">
        <v>78</v>
      </c>
      <c r="D2" s="5" t="s">
        <v>79</v>
      </c>
      <c r="E2" s="5" t="s">
        <v>80</v>
      </c>
      <c r="F2" s="2" t="s">
        <v>61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1:11" x14ac:dyDescent="0.25">
      <c r="A3" s="4">
        <v>1</v>
      </c>
      <c r="B3" s="1" t="s">
        <v>6</v>
      </c>
      <c r="C3" s="1" t="s">
        <v>81</v>
      </c>
      <c r="D3" s="13">
        <v>46104</v>
      </c>
      <c r="E3" s="23" t="s">
        <v>105</v>
      </c>
      <c r="F3" s="1" t="s">
        <v>62</v>
      </c>
      <c r="G3" s="26">
        <v>50</v>
      </c>
      <c r="H3" s="26">
        <v>40</v>
      </c>
      <c r="I3" s="26"/>
      <c r="J3" s="26">
        <f>I3-G3</f>
        <v>-50</v>
      </c>
      <c r="K3" s="37">
        <f>I3/G3</f>
        <v>0</v>
      </c>
    </row>
    <row r="4" spans="1:11" x14ac:dyDescent="0.25">
      <c r="A4" s="4">
        <v>2</v>
      </c>
      <c r="B4" s="1" t="s">
        <v>10</v>
      </c>
      <c r="C4" s="1" t="s">
        <v>81</v>
      </c>
      <c r="D4" s="13">
        <v>46125</v>
      </c>
      <c r="E4" s="23" t="s">
        <v>106</v>
      </c>
      <c r="F4" s="1" t="s">
        <v>62</v>
      </c>
      <c r="G4" s="26">
        <v>50</v>
      </c>
      <c r="H4" s="26">
        <v>40</v>
      </c>
      <c r="I4" s="26"/>
      <c r="J4" s="26">
        <f t="shared" ref="J4:J12" si="0">I4-G4</f>
        <v>-50</v>
      </c>
      <c r="K4" s="37">
        <f t="shared" ref="K4:K12" si="1">I4/G4</f>
        <v>0</v>
      </c>
    </row>
    <row r="5" spans="1:11" x14ac:dyDescent="0.25">
      <c r="A5" s="4">
        <v>3</v>
      </c>
      <c r="B5" s="1" t="s">
        <v>134</v>
      </c>
      <c r="C5" s="21" t="s">
        <v>82</v>
      </c>
      <c r="D5" s="16">
        <v>46128</v>
      </c>
      <c r="E5" s="24" t="s">
        <v>135</v>
      </c>
      <c r="F5" s="1" t="s">
        <v>62</v>
      </c>
      <c r="G5" s="26">
        <v>50</v>
      </c>
      <c r="H5" s="26">
        <v>40</v>
      </c>
      <c r="I5" s="26"/>
      <c r="J5" s="26">
        <f t="shared" si="0"/>
        <v>-50</v>
      </c>
      <c r="K5" s="37">
        <f t="shared" si="1"/>
        <v>0</v>
      </c>
    </row>
    <row r="6" spans="1:11" x14ac:dyDescent="0.25">
      <c r="A6" s="4">
        <v>4</v>
      </c>
      <c r="B6" s="1" t="s">
        <v>11</v>
      </c>
      <c r="C6" s="1" t="s">
        <v>81</v>
      </c>
      <c r="D6" s="22">
        <v>46218</v>
      </c>
      <c r="E6" s="25" t="s">
        <v>139</v>
      </c>
      <c r="F6" s="1" t="s">
        <v>62</v>
      </c>
      <c r="G6" s="26">
        <v>20</v>
      </c>
      <c r="H6" s="26">
        <v>10</v>
      </c>
      <c r="I6" s="26"/>
      <c r="J6" s="26">
        <f t="shared" si="0"/>
        <v>-20</v>
      </c>
      <c r="K6" s="37">
        <f t="shared" si="1"/>
        <v>0</v>
      </c>
    </row>
    <row r="7" spans="1:11" x14ac:dyDescent="0.25">
      <c r="A7" s="4">
        <v>5</v>
      </c>
      <c r="B7" s="1" t="s">
        <v>16</v>
      </c>
      <c r="C7" s="1" t="s">
        <v>82</v>
      </c>
      <c r="D7" s="13">
        <v>46181</v>
      </c>
      <c r="E7" s="23" t="s">
        <v>107</v>
      </c>
      <c r="F7" s="1" t="s">
        <v>62</v>
      </c>
      <c r="G7" s="26">
        <v>40</v>
      </c>
      <c r="H7" s="26">
        <v>30</v>
      </c>
      <c r="I7" s="26"/>
      <c r="J7" s="26">
        <f t="shared" si="0"/>
        <v>-40</v>
      </c>
      <c r="K7" s="37">
        <f t="shared" si="1"/>
        <v>0</v>
      </c>
    </row>
    <row r="8" spans="1:11" x14ac:dyDescent="0.25">
      <c r="A8" s="4">
        <v>6</v>
      </c>
      <c r="B8" s="1" t="s">
        <v>22</v>
      </c>
      <c r="C8" s="1" t="s">
        <v>82</v>
      </c>
      <c r="D8" s="13">
        <v>46153</v>
      </c>
      <c r="E8" s="23" t="s">
        <v>108</v>
      </c>
      <c r="F8" s="1" t="s">
        <v>62</v>
      </c>
      <c r="G8" s="26">
        <v>40</v>
      </c>
      <c r="H8" s="26">
        <v>30</v>
      </c>
      <c r="I8" s="26"/>
      <c r="J8" s="26">
        <f t="shared" si="0"/>
        <v>-40</v>
      </c>
      <c r="K8" s="37">
        <f t="shared" si="1"/>
        <v>0</v>
      </c>
    </row>
    <row r="9" spans="1:11" x14ac:dyDescent="0.25">
      <c r="A9" s="4">
        <v>7</v>
      </c>
      <c r="B9" s="1" t="s">
        <v>31</v>
      </c>
      <c r="C9" s="1" t="s">
        <v>81</v>
      </c>
      <c r="D9" s="13">
        <v>46006</v>
      </c>
      <c r="E9" s="23" t="s">
        <v>109</v>
      </c>
      <c r="F9" s="1" t="s">
        <v>62</v>
      </c>
      <c r="G9" s="26">
        <v>50</v>
      </c>
      <c r="H9" s="26">
        <v>40</v>
      </c>
      <c r="I9" s="26"/>
      <c r="J9" s="26">
        <f t="shared" si="0"/>
        <v>-50</v>
      </c>
      <c r="K9" s="37">
        <f t="shared" si="1"/>
        <v>0</v>
      </c>
    </row>
    <row r="10" spans="1:11" x14ac:dyDescent="0.25">
      <c r="A10" s="4">
        <v>8</v>
      </c>
      <c r="B10" s="1" t="s">
        <v>32</v>
      </c>
      <c r="C10" s="1" t="s">
        <v>81</v>
      </c>
      <c r="D10" s="13">
        <v>46125</v>
      </c>
      <c r="E10" s="23" t="s">
        <v>110</v>
      </c>
      <c r="F10" s="1" t="s">
        <v>62</v>
      </c>
      <c r="G10" s="26">
        <v>50</v>
      </c>
      <c r="H10" s="26">
        <v>40</v>
      </c>
      <c r="I10" s="26"/>
      <c r="J10" s="26">
        <f t="shared" si="0"/>
        <v>-50</v>
      </c>
      <c r="K10" s="37">
        <f t="shared" si="1"/>
        <v>0</v>
      </c>
    </row>
    <row r="11" spans="1:11" x14ac:dyDescent="0.25">
      <c r="A11" s="4">
        <v>9</v>
      </c>
      <c r="B11" s="1" t="s">
        <v>40</v>
      </c>
      <c r="C11" s="1" t="s">
        <v>81</v>
      </c>
      <c r="D11" s="13">
        <v>46006</v>
      </c>
      <c r="E11" s="23" t="s">
        <v>111</v>
      </c>
      <c r="F11" s="1" t="s">
        <v>62</v>
      </c>
      <c r="G11" s="26">
        <v>50</v>
      </c>
      <c r="H11" s="26">
        <v>40</v>
      </c>
      <c r="I11" s="26"/>
      <c r="J11" s="26">
        <f t="shared" si="0"/>
        <v>-50</v>
      </c>
      <c r="K11" s="37">
        <f t="shared" si="1"/>
        <v>0</v>
      </c>
    </row>
    <row r="12" spans="1:11" x14ac:dyDescent="0.25">
      <c r="A12" s="4">
        <v>10</v>
      </c>
      <c r="B12" s="1" t="s">
        <v>41</v>
      </c>
      <c r="C12" s="1" t="s">
        <v>81</v>
      </c>
      <c r="D12" s="13">
        <v>46128</v>
      </c>
      <c r="E12" s="23" t="s">
        <v>112</v>
      </c>
      <c r="F12" s="1" t="s">
        <v>62</v>
      </c>
      <c r="G12" s="26">
        <v>50</v>
      </c>
      <c r="H12" s="26">
        <v>40</v>
      </c>
      <c r="I12" s="26"/>
      <c r="J12" s="26">
        <f t="shared" si="0"/>
        <v>-50</v>
      </c>
      <c r="K12" s="37">
        <f t="shared" si="1"/>
        <v>0</v>
      </c>
    </row>
    <row r="13" spans="1:11" x14ac:dyDescent="0.25">
      <c r="A13" s="44" t="s">
        <v>60</v>
      </c>
      <c r="B13" s="44"/>
      <c r="C13" s="44"/>
      <c r="D13" s="44"/>
      <c r="E13" s="44"/>
      <c r="F13" s="44"/>
      <c r="G13" s="7">
        <f>SUM(G3:G12)</f>
        <v>450</v>
      </c>
      <c r="H13" s="7">
        <f>SUM(H3:H12)</f>
        <v>350</v>
      </c>
      <c r="I13" s="7">
        <f>SUM(I3:I12)</f>
        <v>0</v>
      </c>
      <c r="J13" s="7">
        <f>SUM(J3:J12)</f>
        <v>-450</v>
      </c>
      <c r="K13" s="8">
        <f>I13/G13</f>
        <v>0</v>
      </c>
    </row>
  </sheetData>
  <mergeCells count="2">
    <mergeCell ref="A13:F13"/>
    <mergeCell ref="A1:K1"/>
  </mergeCells>
  <hyperlinks>
    <hyperlink ref="E6" r:id="rId1" xr:uid="{9833CDED-400C-4C5B-A3B6-67D0185745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413D-5222-45D7-BEC7-9F50BEACECE3}">
  <dimension ref="A1:K5"/>
  <sheetViews>
    <sheetView workbookViewId="0">
      <selection activeCell="H9" sqref="H9"/>
    </sheetView>
  </sheetViews>
  <sheetFormatPr defaultRowHeight="15" x14ac:dyDescent="0.25"/>
  <cols>
    <col min="1" max="1" width="4.5703125" bestFit="1" customWidth="1"/>
    <col min="2" max="2" width="14.5703125" bestFit="1" customWidth="1"/>
    <col min="3" max="3" width="13.140625" hidden="1" customWidth="1"/>
    <col min="4" max="4" width="10.140625" hidden="1" customWidth="1"/>
    <col min="5" max="5" width="28.140625" hidden="1" customWidth="1"/>
    <col min="6" max="6" width="10.42578125" bestFit="1" customWidth="1"/>
    <col min="7" max="7" width="6.5703125" bestFit="1" customWidth="1"/>
    <col min="8" max="8" width="13.5703125" bestFit="1" customWidth="1"/>
    <col min="9" max="9" width="8.140625" bestFit="1" customWidth="1"/>
    <col min="10" max="10" width="7.28515625" bestFit="1" customWidth="1"/>
    <col min="11" max="11" width="9.85546875" bestFit="1" customWidth="1"/>
  </cols>
  <sheetData>
    <row r="1" spans="1:11" x14ac:dyDescent="0.25">
      <c r="A1" s="41" t="s">
        <v>77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3" t="s">
        <v>68</v>
      </c>
      <c r="B2" s="3" t="s">
        <v>0</v>
      </c>
      <c r="C2" s="5" t="s">
        <v>78</v>
      </c>
      <c r="D2" s="5" t="s">
        <v>79</v>
      </c>
      <c r="E2" s="5" t="s">
        <v>80</v>
      </c>
      <c r="F2" s="3" t="s">
        <v>61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 x14ac:dyDescent="0.25">
      <c r="A3" s="4">
        <v>1</v>
      </c>
      <c r="B3" s="4" t="s">
        <v>13</v>
      </c>
      <c r="C3" s="4" t="s">
        <v>81</v>
      </c>
      <c r="D3" s="14">
        <v>46090</v>
      </c>
      <c r="E3" s="15" t="s">
        <v>113</v>
      </c>
      <c r="F3" s="4" t="s">
        <v>64</v>
      </c>
      <c r="G3" s="4">
        <v>50</v>
      </c>
      <c r="H3" s="4">
        <v>40</v>
      </c>
      <c r="I3" s="4"/>
      <c r="J3" s="4">
        <f>I3-G3</f>
        <v>-50</v>
      </c>
      <c r="K3" s="38">
        <f>I3/G3</f>
        <v>0</v>
      </c>
    </row>
    <row r="4" spans="1:11" x14ac:dyDescent="0.25">
      <c r="A4" s="4">
        <v>2</v>
      </c>
      <c r="B4" s="4" t="s">
        <v>19</v>
      </c>
      <c r="C4" s="4" t="s">
        <v>81</v>
      </c>
      <c r="D4" s="14">
        <v>45962</v>
      </c>
      <c r="E4" s="15" t="s">
        <v>114</v>
      </c>
      <c r="F4" s="4" t="s">
        <v>64</v>
      </c>
      <c r="G4" s="4">
        <v>50</v>
      </c>
      <c r="H4" s="4">
        <v>40</v>
      </c>
      <c r="I4" s="4"/>
      <c r="J4" s="4">
        <f>I4-G4</f>
        <v>-50</v>
      </c>
      <c r="K4" s="38">
        <f>I4/G4</f>
        <v>0</v>
      </c>
    </row>
    <row r="5" spans="1:11" x14ac:dyDescent="0.25">
      <c r="A5" s="43" t="s">
        <v>60</v>
      </c>
      <c r="B5" s="43"/>
      <c r="C5" s="43"/>
      <c r="D5" s="43"/>
      <c r="E5" s="43"/>
      <c r="F5" s="43"/>
      <c r="G5" s="5">
        <f>SUM(G3:G4)</f>
        <v>100</v>
      </c>
      <c r="H5" s="5">
        <f>SUM(H3:H4)</f>
        <v>80</v>
      </c>
      <c r="I5" s="5">
        <f>SUM(I3:I4)</f>
        <v>0</v>
      </c>
      <c r="J5" s="5">
        <f>SUM(J3:J4)</f>
        <v>-100</v>
      </c>
      <c r="K5" s="9">
        <f>I5/G5</f>
        <v>0</v>
      </c>
    </row>
  </sheetData>
  <mergeCells count="2">
    <mergeCell ref="A5:F5"/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5036-2993-430D-8284-5B62E1145CF0}">
  <dimension ref="A1:K7"/>
  <sheetViews>
    <sheetView workbookViewId="0">
      <selection activeCell="G3" sqref="G3:H6"/>
    </sheetView>
  </sheetViews>
  <sheetFormatPr defaultRowHeight="15" x14ac:dyDescent="0.25"/>
  <cols>
    <col min="1" max="1" width="4.5703125" bestFit="1" customWidth="1"/>
    <col min="2" max="2" width="15.140625" bestFit="1" customWidth="1"/>
    <col min="3" max="3" width="13.140625" hidden="1" customWidth="1"/>
    <col min="4" max="4" width="10.140625" hidden="1" customWidth="1"/>
    <col min="5" max="5" width="30" hidden="1" customWidth="1"/>
    <col min="6" max="6" width="15.85546875" hidden="1" customWidth="1"/>
    <col min="7" max="7" width="6.5703125" bestFit="1" customWidth="1"/>
    <col min="8" max="8" width="13.5703125" bestFit="1" customWidth="1"/>
    <col min="9" max="9" width="8.140625" bestFit="1" customWidth="1"/>
    <col min="10" max="10" width="7.28515625" bestFit="1" customWidth="1"/>
    <col min="11" max="11" width="9.85546875" bestFit="1" customWidth="1"/>
  </cols>
  <sheetData>
    <row r="1" spans="1:11" x14ac:dyDescent="0.25">
      <c r="A1" s="41" t="s">
        <v>74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3" t="s">
        <v>68</v>
      </c>
      <c r="B2" s="3" t="s">
        <v>0</v>
      </c>
      <c r="C2" s="5" t="s">
        <v>78</v>
      </c>
      <c r="D2" s="5" t="s">
        <v>79</v>
      </c>
      <c r="E2" s="5" t="s">
        <v>80</v>
      </c>
      <c r="F2" s="3" t="s">
        <v>61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 x14ac:dyDescent="0.25">
      <c r="A3" s="4">
        <v>1</v>
      </c>
      <c r="B3" s="4" t="s">
        <v>24</v>
      </c>
      <c r="C3" s="4" t="str">
        <f>VLOOKUP(B3,'[1]Media &amp; Liberal Arts'!$A:$J,2,0)</f>
        <v>AM2PM</v>
      </c>
      <c r="D3" s="14">
        <f>VLOOKUP(B3,'[1]Media &amp; Liberal Arts'!$A:$J,3,0)</f>
        <v>46121</v>
      </c>
      <c r="E3" s="15" t="s">
        <v>115</v>
      </c>
      <c r="F3" s="4" t="s">
        <v>66</v>
      </c>
      <c r="G3" s="4">
        <v>50</v>
      </c>
      <c r="H3" s="4">
        <v>40</v>
      </c>
      <c r="I3" s="4"/>
      <c r="J3" s="4">
        <f>I3-G3</f>
        <v>-50</v>
      </c>
      <c r="K3" s="38">
        <f>I3/G3</f>
        <v>0</v>
      </c>
    </row>
    <row r="4" spans="1:11" x14ac:dyDescent="0.25">
      <c r="A4" s="4">
        <v>2</v>
      </c>
      <c r="B4" s="4" t="s">
        <v>33</v>
      </c>
      <c r="C4" s="4" t="str">
        <f>VLOOKUP(B4,'[1]Media &amp; Liberal Arts'!$A:$J,2,0)</f>
        <v>SKS Enterprises</v>
      </c>
      <c r="D4" s="14">
        <f>VLOOKUP(B4,'[1]Media &amp; Liberal Arts'!$A:$J,3,0)</f>
        <v>46065</v>
      </c>
      <c r="E4" s="15" t="s">
        <v>116</v>
      </c>
      <c r="F4" s="4" t="s">
        <v>66</v>
      </c>
      <c r="G4" s="4">
        <v>50</v>
      </c>
      <c r="H4" s="4">
        <v>40</v>
      </c>
      <c r="I4" s="4"/>
      <c r="J4" s="4">
        <f t="shared" ref="J4:J6" si="0">I4-G4</f>
        <v>-50</v>
      </c>
      <c r="K4" s="38">
        <f t="shared" ref="K4:K6" si="1">I4/G4</f>
        <v>0</v>
      </c>
    </row>
    <row r="5" spans="1:11" x14ac:dyDescent="0.25">
      <c r="A5" s="4">
        <v>3</v>
      </c>
      <c r="B5" s="4" t="s">
        <v>39</v>
      </c>
      <c r="C5" s="4" t="str">
        <f>VLOOKUP(B5,'[1]Media &amp; Liberal Arts'!$A:$J,2,0)</f>
        <v>SKS Enterprises</v>
      </c>
      <c r="D5" s="14">
        <f>VLOOKUP(B5,'[1]Media &amp; Liberal Arts'!$A:$J,3,0)</f>
        <v>46020</v>
      </c>
      <c r="E5" s="15" t="s">
        <v>117</v>
      </c>
      <c r="F5" s="4" t="s">
        <v>66</v>
      </c>
      <c r="G5" s="4">
        <v>50</v>
      </c>
      <c r="H5" s="4">
        <v>40</v>
      </c>
      <c r="I5" s="4"/>
      <c r="J5" s="4">
        <f t="shared" si="0"/>
        <v>-50</v>
      </c>
      <c r="K5" s="38">
        <f t="shared" si="1"/>
        <v>0</v>
      </c>
    </row>
    <row r="6" spans="1:11" x14ac:dyDescent="0.25">
      <c r="A6" s="4">
        <v>4</v>
      </c>
      <c r="B6" s="17" t="s">
        <v>148</v>
      </c>
      <c r="C6" s="17" t="s">
        <v>81</v>
      </c>
      <c r="D6" s="18">
        <v>46118</v>
      </c>
      <c r="E6" s="19" t="s">
        <v>149</v>
      </c>
      <c r="F6" s="4" t="s">
        <v>66</v>
      </c>
      <c r="G6" s="4">
        <v>25</v>
      </c>
      <c r="H6" s="4">
        <v>20</v>
      </c>
      <c r="I6" s="4"/>
      <c r="J6" s="4">
        <f t="shared" si="0"/>
        <v>-25</v>
      </c>
      <c r="K6" s="38">
        <f t="shared" si="1"/>
        <v>0</v>
      </c>
    </row>
    <row r="7" spans="1:11" x14ac:dyDescent="0.25">
      <c r="A7" s="43" t="s">
        <v>60</v>
      </c>
      <c r="B7" s="43"/>
      <c r="C7" s="43"/>
      <c r="D7" s="43"/>
      <c r="E7" s="43"/>
      <c r="F7" s="43"/>
      <c r="G7" s="5">
        <f>SUM(G3:G6)</f>
        <v>175</v>
      </c>
      <c r="H7" s="5">
        <f>SUM(H3:H6)</f>
        <v>140</v>
      </c>
      <c r="I7" s="5">
        <f>SUM(I3:I5)</f>
        <v>0</v>
      </c>
      <c r="J7" s="5">
        <f>SUM(J3:J6)</f>
        <v>-175</v>
      </c>
      <c r="K7" s="9">
        <f>I7/G7</f>
        <v>0</v>
      </c>
    </row>
  </sheetData>
  <mergeCells count="2">
    <mergeCell ref="A7:F7"/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B6D8-46B4-42FF-8821-309D48DD66F3}">
  <dimension ref="A1:K6"/>
  <sheetViews>
    <sheetView workbookViewId="0">
      <selection activeCell="G3" sqref="G3:H5"/>
    </sheetView>
  </sheetViews>
  <sheetFormatPr defaultRowHeight="15" x14ac:dyDescent="0.25"/>
  <cols>
    <col min="1" max="1" width="4.5703125" bestFit="1" customWidth="1"/>
    <col min="2" max="2" width="15.85546875" bestFit="1" customWidth="1"/>
    <col min="3" max="3" width="13.140625" hidden="1" customWidth="1"/>
    <col min="4" max="4" width="10.140625" hidden="1" customWidth="1"/>
    <col min="5" max="5" width="30.7109375" hidden="1" customWidth="1"/>
    <col min="6" max="6" width="10.42578125" hidden="1" customWidth="1"/>
    <col min="7" max="7" width="6.5703125" bestFit="1" customWidth="1"/>
    <col min="8" max="8" width="13.5703125" bestFit="1" customWidth="1"/>
    <col min="9" max="9" width="8.140625" bestFit="1" customWidth="1"/>
    <col min="10" max="10" width="7.28515625" bestFit="1" customWidth="1"/>
    <col min="11" max="11" width="9.85546875" bestFit="1" customWidth="1"/>
  </cols>
  <sheetData>
    <row r="1" spans="1:11" x14ac:dyDescent="0.25">
      <c r="A1" s="41" t="s">
        <v>153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3" t="s">
        <v>68</v>
      </c>
      <c r="B2" s="3" t="s">
        <v>0</v>
      </c>
      <c r="C2" s="5" t="s">
        <v>78</v>
      </c>
      <c r="D2" s="5" t="s">
        <v>79</v>
      </c>
      <c r="E2" s="5" t="s">
        <v>80</v>
      </c>
      <c r="F2" s="3" t="s">
        <v>61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 x14ac:dyDescent="0.25">
      <c r="A3" s="4">
        <v>1</v>
      </c>
      <c r="B3" s="4" t="s">
        <v>15</v>
      </c>
      <c r="C3" s="4" t="s">
        <v>81</v>
      </c>
      <c r="D3" s="14">
        <v>46013</v>
      </c>
      <c r="E3" s="15" t="s">
        <v>118</v>
      </c>
      <c r="F3" s="4" t="s">
        <v>65</v>
      </c>
      <c r="G3" s="4">
        <v>40</v>
      </c>
      <c r="H3" s="4">
        <v>30</v>
      </c>
      <c r="I3" s="4"/>
      <c r="J3" s="4">
        <f>I3-G3</f>
        <v>-40</v>
      </c>
      <c r="K3" s="38">
        <f>I3/G3</f>
        <v>0</v>
      </c>
    </row>
    <row r="4" spans="1:11" x14ac:dyDescent="0.25">
      <c r="A4" s="4">
        <v>2</v>
      </c>
      <c r="B4" s="4" t="s">
        <v>21</v>
      </c>
      <c r="C4" s="4" t="s">
        <v>81</v>
      </c>
      <c r="D4" s="14">
        <v>46097</v>
      </c>
      <c r="E4" s="15" t="s">
        <v>119</v>
      </c>
      <c r="F4" s="4" t="s">
        <v>65</v>
      </c>
      <c r="G4" s="4">
        <v>40</v>
      </c>
      <c r="H4" s="4">
        <v>30</v>
      </c>
      <c r="I4" s="4"/>
      <c r="J4" s="4">
        <f>I4-G4</f>
        <v>-40</v>
      </c>
      <c r="K4" s="38">
        <f t="shared" ref="K4:K5" si="0">I4/G4</f>
        <v>0</v>
      </c>
    </row>
    <row r="5" spans="1:11" x14ac:dyDescent="0.25">
      <c r="A5" s="4">
        <v>3</v>
      </c>
      <c r="B5" s="17" t="s">
        <v>150</v>
      </c>
      <c r="C5" s="17" t="s">
        <v>81</v>
      </c>
      <c r="D5" s="18">
        <v>46118</v>
      </c>
      <c r="E5" s="19" t="s">
        <v>151</v>
      </c>
      <c r="F5" s="4" t="s">
        <v>65</v>
      </c>
      <c r="G5" s="4">
        <v>20</v>
      </c>
      <c r="H5" s="4">
        <v>15</v>
      </c>
      <c r="I5" s="4"/>
      <c r="J5" s="4">
        <f>I5-G5</f>
        <v>-20</v>
      </c>
      <c r="K5" s="38">
        <f t="shared" si="0"/>
        <v>0</v>
      </c>
    </row>
    <row r="6" spans="1:11" x14ac:dyDescent="0.25">
      <c r="A6" s="43" t="s">
        <v>60</v>
      </c>
      <c r="B6" s="43"/>
      <c r="C6" s="43"/>
      <c r="D6" s="43"/>
      <c r="E6" s="43"/>
      <c r="F6" s="43"/>
      <c r="G6" s="5">
        <f>SUM(G3:G5)</f>
        <v>100</v>
      </c>
      <c r="H6" s="5">
        <f>SUM(H3:H5)</f>
        <v>75</v>
      </c>
      <c r="I6" s="5">
        <f>SUM(I3:I4)</f>
        <v>0</v>
      </c>
      <c r="J6" s="5">
        <f>SUM(J3:J5)</f>
        <v>-100</v>
      </c>
      <c r="K6" s="9">
        <f>I6/G6</f>
        <v>0</v>
      </c>
    </row>
  </sheetData>
  <mergeCells count="2">
    <mergeCell ref="A6:F6"/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E902-B891-4741-A7D3-1CB02C6554FE}">
  <dimension ref="A1:K20"/>
  <sheetViews>
    <sheetView workbookViewId="0">
      <selection activeCell="F19" sqref="F19"/>
    </sheetView>
  </sheetViews>
  <sheetFormatPr defaultRowHeight="15" x14ac:dyDescent="0.25"/>
  <cols>
    <col min="1" max="1" width="4.5703125" bestFit="1" customWidth="1"/>
    <col min="2" max="2" width="15.28515625" bestFit="1" customWidth="1"/>
    <col min="3" max="3" width="13.140625" hidden="1" customWidth="1"/>
    <col min="4" max="4" width="10.140625" hidden="1" customWidth="1"/>
    <col min="5" max="5" width="30.140625" hidden="1" customWidth="1"/>
    <col min="6" max="6" width="10.42578125" bestFit="1" customWidth="1"/>
    <col min="7" max="7" width="6.5703125" bestFit="1" customWidth="1"/>
    <col min="8" max="8" width="13.5703125" bestFit="1" customWidth="1"/>
    <col min="9" max="9" width="8.140625" bestFit="1" customWidth="1"/>
    <col min="10" max="10" width="7.28515625" bestFit="1" customWidth="1"/>
    <col min="11" max="11" width="9.85546875" bestFit="1" customWidth="1"/>
  </cols>
  <sheetData>
    <row r="1" spans="1:11" x14ac:dyDescent="0.25">
      <c r="A1" s="41" t="s">
        <v>75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3" t="s">
        <v>68</v>
      </c>
      <c r="B2" s="3" t="s">
        <v>0</v>
      </c>
      <c r="C2" s="5" t="s">
        <v>78</v>
      </c>
      <c r="D2" s="5" t="s">
        <v>79</v>
      </c>
      <c r="E2" s="5" t="s">
        <v>80</v>
      </c>
      <c r="F2" s="3" t="s">
        <v>61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 x14ac:dyDescent="0.25">
      <c r="A3" s="4">
        <v>1</v>
      </c>
      <c r="B3" s="4" t="s">
        <v>44</v>
      </c>
      <c r="C3" s="4" t="s">
        <v>81</v>
      </c>
      <c r="D3" s="14">
        <v>46090</v>
      </c>
      <c r="E3" s="15" t="s">
        <v>120</v>
      </c>
      <c r="F3" s="4" t="s">
        <v>67</v>
      </c>
      <c r="G3" s="4">
        <v>30</v>
      </c>
      <c r="H3" s="4">
        <v>20</v>
      </c>
      <c r="I3" s="4"/>
      <c r="J3" s="4">
        <f>I3-G3</f>
        <v>-30</v>
      </c>
      <c r="K3" s="38">
        <f>I3/G3</f>
        <v>0</v>
      </c>
    </row>
    <row r="4" spans="1:11" x14ac:dyDescent="0.25">
      <c r="A4" s="4">
        <v>2</v>
      </c>
      <c r="B4" s="4" t="s">
        <v>45</v>
      </c>
      <c r="C4" s="4" t="s">
        <v>81</v>
      </c>
      <c r="D4" s="14">
        <v>46013</v>
      </c>
      <c r="E4" s="15" t="s">
        <v>121</v>
      </c>
      <c r="F4" s="4" t="s">
        <v>67</v>
      </c>
      <c r="G4" s="4">
        <v>30</v>
      </c>
      <c r="H4" s="4">
        <v>20</v>
      </c>
      <c r="I4" s="4"/>
      <c r="J4" s="4">
        <f t="shared" ref="J4:J19" si="0">I4-G4</f>
        <v>-30</v>
      </c>
      <c r="K4" s="38">
        <f t="shared" ref="K4:K19" si="1">I4/G4</f>
        <v>0</v>
      </c>
    </row>
    <row r="5" spans="1:11" x14ac:dyDescent="0.25">
      <c r="A5" s="4">
        <v>3</v>
      </c>
      <c r="B5" s="4" t="s">
        <v>46</v>
      </c>
      <c r="C5" s="4" t="s">
        <v>81</v>
      </c>
      <c r="D5" s="14">
        <v>46147</v>
      </c>
      <c r="E5" s="15" t="s">
        <v>122</v>
      </c>
      <c r="F5" s="4" t="s">
        <v>67</v>
      </c>
      <c r="G5" s="4">
        <v>30</v>
      </c>
      <c r="H5" s="4">
        <v>20</v>
      </c>
      <c r="I5" s="4"/>
      <c r="J5" s="4">
        <f t="shared" si="0"/>
        <v>-30</v>
      </c>
      <c r="K5" s="38">
        <f t="shared" si="1"/>
        <v>0</v>
      </c>
    </row>
    <row r="6" spans="1:11" x14ac:dyDescent="0.25">
      <c r="A6" s="4">
        <v>4</v>
      </c>
      <c r="B6" s="4" t="s">
        <v>47</v>
      </c>
      <c r="C6" s="4" t="s">
        <v>82</v>
      </c>
      <c r="D6" s="14">
        <v>46111</v>
      </c>
      <c r="E6" s="15" t="s">
        <v>123</v>
      </c>
      <c r="F6" s="4" t="s">
        <v>67</v>
      </c>
      <c r="G6" s="4">
        <v>30</v>
      </c>
      <c r="H6" s="4">
        <v>20</v>
      </c>
      <c r="I6" s="4"/>
      <c r="J6" s="4">
        <f t="shared" si="0"/>
        <v>-30</v>
      </c>
      <c r="K6" s="38">
        <f t="shared" si="1"/>
        <v>0</v>
      </c>
    </row>
    <row r="7" spans="1:11" x14ac:dyDescent="0.25">
      <c r="A7" s="4">
        <v>5</v>
      </c>
      <c r="B7" s="4" t="s">
        <v>48</v>
      </c>
      <c r="C7" s="4" t="s">
        <v>82</v>
      </c>
      <c r="D7" s="14">
        <v>46112</v>
      </c>
      <c r="E7" s="15" t="s">
        <v>124</v>
      </c>
      <c r="F7" s="4" t="s">
        <v>67</v>
      </c>
      <c r="G7" s="4">
        <v>30</v>
      </c>
      <c r="H7" s="4">
        <v>20</v>
      </c>
      <c r="I7" s="4"/>
      <c r="J7" s="4">
        <f t="shared" si="0"/>
        <v>-30</v>
      </c>
      <c r="K7" s="38">
        <f t="shared" si="1"/>
        <v>0</v>
      </c>
    </row>
    <row r="8" spans="1:11" x14ac:dyDescent="0.25">
      <c r="A8" s="4">
        <v>6</v>
      </c>
      <c r="B8" s="4" t="s">
        <v>49</v>
      </c>
      <c r="C8" s="4" t="s">
        <v>81</v>
      </c>
      <c r="D8" s="14">
        <v>46099</v>
      </c>
      <c r="E8" s="15" t="s">
        <v>125</v>
      </c>
      <c r="F8" s="4" t="s">
        <v>67</v>
      </c>
      <c r="G8" s="4">
        <v>30</v>
      </c>
      <c r="H8" s="4">
        <v>20</v>
      </c>
      <c r="I8" s="4"/>
      <c r="J8" s="4">
        <f t="shared" si="0"/>
        <v>-30</v>
      </c>
      <c r="K8" s="38">
        <f t="shared" si="1"/>
        <v>0</v>
      </c>
    </row>
    <row r="9" spans="1:11" x14ac:dyDescent="0.25">
      <c r="A9" s="4">
        <v>7</v>
      </c>
      <c r="B9" s="4" t="s">
        <v>51</v>
      </c>
      <c r="C9" s="4" t="s">
        <v>81</v>
      </c>
      <c r="D9" s="14">
        <v>46162</v>
      </c>
      <c r="E9" s="15" t="s">
        <v>126</v>
      </c>
      <c r="F9" s="4" t="s">
        <v>67</v>
      </c>
      <c r="G9" s="4">
        <v>30</v>
      </c>
      <c r="H9" s="4">
        <v>20</v>
      </c>
      <c r="I9" s="4"/>
      <c r="J9" s="4">
        <f t="shared" si="0"/>
        <v>-30</v>
      </c>
      <c r="K9" s="38">
        <f t="shared" si="1"/>
        <v>0</v>
      </c>
    </row>
    <row r="10" spans="1:11" x14ac:dyDescent="0.25">
      <c r="A10" s="4">
        <v>8</v>
      </c>
      <c r="B10" s="4" t="s">
        <v>52</v>
      </c>
      <c r="C10" s="4" t="s">
        <v>81</v>
      </c>
      <c r="D10" s="14">
        <v>46090</v>
      </c>
      <c r="E10" s="15" t="s">
        <v>127</v>
      </c>
      <c r="F10" s="4" t="s">
        <v>67</v>
      </c>
      <c r="G10" s="4">
        <v>20</v>
      </c>
      <c r="H10" s="4">
        <v>10</v>
      </c>
      <c r="I10" s="4"/>
      <c r="J10" s="4">
        <f t="shared" si="0"/>
        <v>-20</v>
      </c>
      <c r="K10" s="38">
        <f t="shared" si="1"/>
        <v>0</v>
      </c>
    </row>
    <row r="11" spans="1:11" x14ac:dyDescent="0.25">
      <c r="A11" s="4">
        <v>9</v>
      </c>
      <c r="B11" s="4" t="s">
        <v>53</v>
      </c>
      <c r="C11" s="4" t="s">
        <v>81</v>
      </c>
      <c r="D11" s="14">
        <v>46147</v>
      </c>
      <c r="E11" s="15" t="s">
        <v>128</v>
      </c>
      <c r="F11" s="4" t="s">
        <v>67</v>
      </c>
      <c r="G11" s="4">
        <v>30</v>
      </c>
      <c r="H11" s="4">
        <v>20</v>
      </c>
      <c r="I11" s="4"/>
      <c r="J11" s="4">
        <f t="shared" si="0"/>
        <v>-30</v>
      </c>
      <c r="K11" s="38">
        <f t="shared" si="1"/>
        <v>0</v>
      </c>
    </row>
    <row r="12" spans="1:11" x14ac:dyDescent="0.25">
      <c r="A12" s="4">
        <v>10</v>
      </c>
      <c r="B12" s="4" t="s">
        <v>54</v>
      </c>
      <c r="C12" s="4" t="s">
        <v>81</v>
      </c>
      <c r="D12" s="14">
        <v>46020</v>
      </c>
      <c r="E12" s="15" t="s">
        <v>129</v>
      </c>
      <c r="F12" s="4" t="s">
        <v>67</v>
      </c>
      <c r="G12" s="4">
        <v>30</v>
      </c>
      <c r="H12" s="4">
        <v>20</v>
      </c>
      <c r="I12" s="4"/>
      <c r="J12" s="4">
        <f t="shared" si="0"/>
        <v>-30</v>
      </c>
      <c r="K12" s="38">
        <f t="shared" si="1"/>
        <v>0</v>
      </c>
    </row>
    <row r="13" spans="1:11" x14ac:dyDescent="0.25">
      <c r="A13" s="4">
        <v>11</v>
      </c>
      <c r="B13" s="4" t="s">
        <v>55</v>
      </c>
      <c r="C13" s="4" t="s">
        <v>81</v>
      </c>
      <c r="D13" s="14">
        <v>46167</v>
      </c>
      <c r="E13" s="15" t="s">
        <v>130</v>
      </c>
      <c r="F13" s="4" t="s">
        <v>67</v>
      </c>
      <c r="G13" s="4">
        <v>30</v>
      </c>
      <c r="H13" s="4">
        <v>20</v>
      </c>
      <c r="I13" s="4"/>
      <c r="J13" s="4">
        <f t="shared" si="0"/>
        <v>-30</v>
      </c>
      <c r="K13" s="38">
        <f t="shared" si="1"/>
        <v>0</v>
      </c>
    </row>
    <row r="14" spans="1:11" x14ac:dyDescent="0.25">
      <c r="A14" s="4">
        <v>12</v>
      </c>
      <c r="B14" s="4" t="s">
        <v>56</v>
      </c>
      <c r="C14" s="4" t="s">
        <v>81</v>
      </c>
      <c r="D14" s="14">
        <v>46125</v>
      </c>
      <c r="E14" s="15" t="s">
        <v>131</v>
      </c>
      <c r="F14" s="4" t="s">
        <v>67</v>
      </c>
      <c r="G14" s="4">
        <v>30</v>
      </c>
      <c r="H14" s="4">
        <v>20</v>
      </c>
      <c r="I14" s="4"/>
      <c r="J14" s="4">
        <f t="shared" si="0"/>
        <v>-30</v>
      </c>
      <c r="K14" s="38">
        <f t="shared" si="1"/>
        <v>0</v>
      </c>
    </row>
    <row r="15" spans="1:11" x14ac:dyDescent="0.25">
      <c r="A15" s="4">
        <v>13</v>
      </c>
      <c r="B15" s="4" t="s">
        <v>57</v>
      </c>
      <c r="C15" s="4" t="s">
        <v>81</v>
      </c>
      <c r="D15" s="14">
        <v>46175</v>
      </c>
      <c r="E15" s="15" t="s">
        <v>132</v>
      </c>
      <c r="F15" s="4" t="s">
        <v>67</v>
      </c>
      <c r="G15" s="4">
        <v>30</v>
      </c>
      <c r="H15" s="4">
        <v>20</v>
      </c>
      <c r="I15" s="4"/>
      <c r="J15" s="4">
        <f t="shared" si="0"/>
        <v>-30</v>
      </c>
      <c r="K15" s="38">
        <f t="shared" si="1"/>
        <v>0</v>
      </c>
    </row>
    <row r="16" spans="1:11" x14ac:dyDescent="0.25">
      <c r="A16" s="4">
        <v>14</v>
      </c>
      <c r="B16" s="4" t="s">
        <v>58</v>
      </c>
      <c r="C16" s="17" t="s">
        <v>82</v>
      </c>
      <c r="D16" s="18">
        <v>46119</v>
      </c>
      <c r="E16" s="19" t="s">
        <v>136</v>
      </c>
      <c r="F16" s="4" t="s">
        <v>67</v>
      </c>
      <c r="G16" s="4">
        <v>30</v>
      </c>
      <c r="H16" s="4">
        <v>20</v>
      </c>
      <c r="I16" s="4"/>
      <c r="J16" s="4">
        <f t="shared" si="0"/>
        <v>-30</v>
      </c>
      <c r="K16" s="38">
        <f t="shared" si="1"/>
        <v>0</v>
      </c>
    </row>
    <row r="17" spans="1:11" x14ac:dyDescent="0.25">
      <c r="A17" s="4">
        <v>15</v>
      </c>
      <c r="B17" s="4" t="s">
        <v>59</v>
      </c>
      <c r="C17" s="17" t="s">
        <v>81</v>
      </c>
      <c r="D17" s="18">
        <v>45985</v>
      </c>
      <c r="E17" s="19" t="s">
        <v>137</v>
      </c>
      <c r="F17" s="4" t="s">
        <v>67</v>
      </c>
      <c r="G17" s="4">
        <v>30</v>
      </c>
      <c r="H17" s="4">
        <v>20</v>
      </c>
      <c r="I17" s="4"/>
      <c r="J17" s="4">
        <f t="shared" si="0"/>
        <v>-30</v>
      </c>
      <c r="K17" s="38">
        <f t="shared" si="1"/>
        <v>0</v>
      </c>
    </row>
    <row r="18" spans="1:11" x14ac:dyDescent="0.25">
      <c r="A18" s="4">
        <v>16</v>
      </c>
      <c r="B18" s="4" t="s">
        <v>50</v>
      </c>
      <c r="C18" s="4" t="s">
        <v>81</v>
      </c>
      <c r="D18" s="14">
        <v>45705</v>
      </c>
      <c r="E18" s="15" t="s">
        <v>133</v>
      </c>
      <c r="F18" s="4" t="s">
        <v>67</v>
      </c>
      <c r="G18" s="4">
        <v>30</v>
      </c>
      <c r="H18" s="4">
        <v>20</v>
      </c>
      <c r="I18" s="4"/>
      <c r="J18" s="4">
        <f t="shared" si="0"/>
        <v>-30</v>
      </c>
      <c r="K18" s="38">
        <f t="shared" si="1"/>
        <v>0</v>
      </c>
    </row>
    <row r="19" spans="1:11" x14ac:dyDescent="0.25">
      <c r="A19" s="4">
        <v>16</v>
      </c>
      <c r="B19" s="4" t="s">
        <v>154</v>
      </c>
      <c r="C19" s="4"/>
      <c r="D19" s="14"/>
      <c r="E19" s="15"/>
      <c r="F19" s="4" t="s">
        <v>67</v>
      </c>
      <c r="G19" s="4">
        <v>40</v>
      </c>
      <c r="H19" s="4">
        <v>30</v>
      </c>
      <c r="I19" s="4"/>
      <c r="J19" s="4">
        <f t="shared" si="0"/>
        <v>-40</v>
      </c>
      <c r="K19" s="38">
        <f t="shared" si="1"/>
        <v>0</v>
      </c>
    </row>
    <row r="20" spans="1:11" x14ac:dyDescent="0.25">
      <c r="A20" s="43" t="s">
        <v>60</v>
      </c>
      <c r="B20" s="43"/>
      <c r="C20" s="43"/>
      <c r="D20" s="43"/>
      <c r="E20" s="43"/>
      <c r="F20" s="43"/>
      <c r="G20" s="5">
        <f>SUM(G3:G19)</f>
        <v>510</v>
      </c>
      <c r="H20" s="5">
        <f>SUM(H3:H19)</f>
        <v>340</v>
      </c>
      <c r="I20" s="5">
        <f>SUM(I3:I18)</f>
        <v>0</v>
      </c>
      <c r="J20" s="5">
        <f>SUM(J3:J19)</f>
        <v>-510</v>
      </c>
      <c r="K20" s="9">
        <f>I20/G20</f>
        <v>0</v>
      </c>
    </row>
  </sheetData>
  <autoFilter ref="A2:K20" xr:uid="{414CE902-B891-4741-A7D3-1CB02C6554FE}"/>
  <mergeCells count="2">
    <mergeCell ref="A20:F20"/>
    <mergeCell ref="A1:K1"/>
  </mergeCells>
  <pageMargins left="0.7" right="0.7" top="0.75" bottom="0.75" header="0.3" footer="0.3"/>
  <ignoredErrors>
    <ignoredError sqref="I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</vt:lpstr>
      <vt:lpstr>Engineering</vt:lpstr>
      <vt:lpstr>Management</vt:lpstr>
      <vt:lpstr>Law</vt:lpstr>
      <vt:lpstr>Liberal Arts</vt:lpstr>
      <vt:lpstr>Design</vt:lpstr>
      <vt:lpstr>Inbound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Ishan Kapoor</cp:lastModifiedBy>
  <dcterms:created xsi:type="dcterms:W3CDTF">2026-08-02T03:51:32Z</dcterms:created>
  <dcterms:modified xsi:type="dcterms:W3CDTF">2026-08-30T06:48:08Z</dcterms:modified>
  <cp:category/>
</cp:coreProperties>
</file>