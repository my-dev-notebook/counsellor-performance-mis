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mesgrouponline-my.sharepoint.com/personal/ishan_kapoor_shikshavijay_com/Documents/Desktop/Performance Report/"/>
    </mc:Choice>
  </mc:AlternateContent>
  <xr:revisionPtr revIDLastSave="2057" documentId="8_{DC0828D6-AEEB-4ED1-BB19-8D227BEF3BF8}" xr6:coauthVersionLast="47" xr6:coauthVersionMax="47" xr10:uidLastSave="{CD334C14-281A-4E1A-AC3B-C2DBF26C7277}"/>
  <bookViews>
    <workbookView xWindow="-120" yWindow="-120" windowWidth="19440" windowHeight="10440" xr2:uid="{EA0F37CB-FA35-4C48-897B-22FF1D12BBDC}"/>
  </bookViews>
  <sheets>
    <sheet name="New Joiners" sheetId="7" r:id="rId1"/>
    <sheet name="Engineering" sheetId="2" r:id="rId2"/>
    <sheet name="Management " sheetId="3" r:id="rId3"/>
    <sheet name="Law" sheetId="4" r:id="rId4"/>
    <sheet name="Media" sheetId="5" r:id="rId5"/>
    <sheet name="Design" sheetId="1" r:id="rId6"/>
    <sheet name="Inbound" sheetId="6" r:id="rId7"/>
  </sheets>
  <definedNames>
    <definedName name="_xlnm._FilterDatabase" localSheetId="5" hidden="1">Design!$A$2:$G$4</definedName>
    <definedName name="_xlnm._FilterDatabase" localSheetId="1" hidden="1">Engineering!$A$2:$G$19</definedName>
    <definedName name="_xlnm._FilterDatabase" localSheetId="6" hidden="1">Inbound!$A$2:$G$20</definedName>
    <definedName name="_xlnm._FilterDatabase" localSheetId="3" hidden="1">Law!$A$2:$G$5</definedName>
    <definedName name="_xlnm._FilterDatabase" localSheetId="2" hidden="1">'Management '!$A$2:$G$6</definedName>
    <definedName name="_xlnm._FilterDatabase" localSheetId="4" hidden="1">Media!$A$2:$G$5</definedName>
    <definedName name="_xlnm._FilterDatabase" localSheetId="0" hidden="1">'New Joiners'!$A$1:$I$37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6" l="1"/>
  <c r="F5" i="6"/>
  <c r="F6" i="6"/>
  <c r="F7" i="6"/>
  <c r="F8" i="6"/>
  <c r="F9" i="6"/>
  <c r="F11" i="6"/>
  <c r="F13" i="6"/>
  <c r="F14" i="6"/>
  <c r="F18" i="6"/>
  <c r="F3" i="6"/>
  <c r="E18" i="6"/>
  <c r="E6" i="6"/>
  <c r="E9" i="6"/>
  <c r="E4" i="6"/>
  <c r="E14" i="6"/>
  <c r="E11" i="6"/>
  <c r="E13" i="6"/>
  <c r="E8" i="6"/>
  <c r="E5" i="6"/>
  <c r="E7" i="6"/>
  <c r="E3" i="6"/>
  <c r="H6" i="7"/>
  <c r="H14" i="7"/>
  <c r="H7" i="7"/>
  <c r="H16" i="7"/>
  <c r="H10" i="7"/>
  <c r="H4" i="7"/>
  <c r="H8" i="7"/>
  <c r="H19" i="7"/>
  <c r="H31" i="7"/>
  <c r="H24" i="7"/>
  <c r="H11" i="7"/>
  <c r="H28" i="7"/>
  <c r="H20" i="7"/>
  <c r="H22" i="7"/>
  <c r="H17" i="7"/>
  <c r="H23" i="7"/>
  <c r="H32" i="7"/>
  <c r="H9" i="7"/>
  <c r="H2" i="7"/>
  <c r="H5" i="7"/>
  <c r="H12" i="7"/>
  <c r="H25" i="7"/>
  <c r="H29" i="7"/>
  <c r="H36" i="7"/>
  <c r="H26" i="7"/>
  <c r="H13" i="7"/>
  <c r="H15" i="7"/>
  <c r="H33" i="7"/>
  <c r="H21" i="7"/>
  <c r="H30" i="7"/>
  <c r="H34" i="7"/>
  <c r="H35" i="7"/>
  <c r="H27" i="7"/>
  <c r="H18" i="7"/>
  <c r="H37" i="7"/>
  <c r="H3" i="7"/>
  <c r="G6" i="7"/>
  <c r="G14" i="7"/>
  <c r="G7" i="7"/>
  <c r="G16" i="7"/>
  <c r="G10" i="7"/>
  <c r="G4" i="7"/>
  <c r="G8" i="7"/>
  <c r="G19" i="7"/>
  <c r="G31" i="7"/>
  <c r="G24" i="7"/>
  <c r="G11" i="7"/>
  <c r="G28" i="7"/>
  <c r="G20" i="7"/>
  <c r="G22" i="7"/>
  <c r="G17" i="7"/>
  <c r="G23" i="7"/>
  <c r="G32" i="7"/>
  <c r="G9" i="7"/>
  <c r="G2" i="7"/>
  <c r="G5" i="7"/>
  <c r="G12" i="7"/>
  <c r="G25" i="7"/>
  <c r="G29" i="7"/>
  <c r="G36" i="7"/>
  <c r="G26" i="7"/>
  <c r="G13" i="7"/>
  <c r="G15" i="7"/>
  <c r="G33" i="7"/>
  <c r="G21" i="7"/>
  <c r="G30" i="7"/>
  <c r="G34" i="7"/>
  <c r="G35" i="7"/>
  <c r="G27" i="7"/>
  <c r="G18" i="7"/>
  <c r="G37" i="7"/>
  <c r="G3" i="7"/>
  <c r="F3" i="1"/>
  <c r="F4" i="1"/>
  <c r="F4" i="5"/>
  <c r="F5" i="5"/>
  <c r="F3" i="5"/>
  <c r="F4" i="4"/>
  <c r="F5" i="4"/>
  <c r="F3" i="4"/>
  <c r="F4" i="3"/>
  <c r="F6" i="3"/>
  <c r="F5" i="3"/>
  <c r="F3" i="3"/>
  <c r="E4" i="3"/>
  <c r="E6" i="3"/>
  <c r="E5" i="3"/>
  <c r="E3" i="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3" i="2"/>
  <c r="E6" i="2"/>
  <c r="E3" i="2"/>
  <c r="E3" i="1"/>
  <c r="E4" i="1"/>
  <c r="E5" i="5"/>
  <c r="E4" i="5"/>
  <c r="E3" i="5"/>
  <c r="E4" i="4"/>
  <c r="E5" i="4"/>
  <c r="E3" i="4"/>
  <c r="E4" i="2"/>
  <c r="E5" i="2"/>
  <c r="E9" i="2"/>
  <c r="E12" i="2"/>
  <c r="E10" i="2"/>
  <c r="E7" i="2"/>
  <c r="E14" i="2"/>
  <c r="E16" i="2"/>
  <c r="E8" i="2"/>
  <c r="E11" i="2"/>
  <c r="E15" i="2"/>
  <c r="E17" i="2"/>
  <c r="E13" i="2"/>
  <c r="E18" i="2"/>
  <c r="E19" i="2"/>
</calcChain>
</file>

<file path=xl/sharedStrings.xml><?xml version="1.0" encoding="utf-8"?>
<sst xmlns="http://schemas.openxmlformats.org/spreadsheetml/2006/main" count="268" uniqueCount="106">
  <si>
    <t>Counsellor Name</t>
  </si>
  <si>
    <t>Deepanshi Sharma</t>
  </si>
  <si>
    <t>Nidhi Khandelwal</t>
  </si>
  <si>
    <t>Vishwadeep Saxena</t>
  </si>
  <si>
    <t>Ritika Dakolia</t>
  </si>
  <si>
    <t>Swati Shandaliya</t>
  </si>
  <si>
    <t>Akshat Sharma</t>
  </si>
  <si>
    <t>Shalini Kumari</t>
  </si>
  <si>
    <t>Shweta Gupta</t>
  </si>
  <si>
    <t>Karandeep Singh</t>
  </si>
  <si>
    <t>Preeti Singh</t>
  </si>
  <si>
    <t>Hans Sharma</t>
  </si>
  <si>
    <t>Durgesh Tiwari</t>
  </si>
  <si>
    <t>Prachi Mehta</t>
  </si>
  <si>
    <t>Abhishek Kumar Singh</t>
  </si>
  <si>
    <t>Ritu Raj</t>
  </si>
  <si>
    <t>Shalini Panjiyar</t>
  </si>
  <si>
    <t>Tanushree Baisala</t>
  </si>
  <si>
    <t>Bhumika Kumari</t>
  </si>
  <si>
    <t>Shubham Kumar</t>
  </si>
  <si>
    <t>S.No</t>
  </si>
  <si>
    <t>Mihir Kumar</t>
  </si>
  <si>
    <t>Sumitra Bharti</t>
  </si>
  <si>
    <t>Debjani Saha</t>
  </si>
  <si>
    <t>Himanshu Shahi</t>
  </si>
  <si>
    <t>Ashutosh Pandey</t>
  </si>
  <si>
    <t>Taniya Adhikari</t>
  </si>
  <si>
    <t>Shraddha Sharma</t>
  </si>
  <si>
    <t xml:space="preserve">Abquari Akhtar </t>
  </si>
  <si>
    <t>Agrim Chaudhary</t>
  </si>
  <si>
    <t xml:space="preserve">Sarang Patel </t>
  </si>
  <si>
    <t>Safiya Farheen</t>
  </si>
  <si>
    <t>Adiba Farid</t>
  </si>
  <si>
    <t>Sanjay Rawat</t>
  </si>
  <si>
    <t>Harshit Kumar</t>
  </si>
  <si>
    <t>Dev Gautam</t>
  </si>
  <si>
    <t>Vikas Pal</t>
  </si>
  <si>
    <t>Abhinav Kumar</t>
  </si>
  <si>
    <t>Arvind Kumar</t>
  </si>
  <si>
    <t>Engineering</t>
  </si>
  <si>
    <t>Management</t>
  </si>
  <si>
    <t>Law</t>
  </si>
  <si>
    <t>Media/Liberal Arts</t>
  </si>
  <si>
    <t>Simran Jaiswal</t>
  </si>
  <si>
    <t>Md.Arshad Hussain</t>
  </si>
  <si>
    <t>Amrit Raj Verma</t>
  </si>
  <si>
    <t>Team Name</t>
  </si>
  <si>
    <t>Mushraff Ali</t>
  </si>
  <si>
    <t>Deepali Yadav</t>
  </si>
  <si>
    <t>Supriya Singh</t>
  </si>
  <si>
    <t>Pallavi Singh</t>
  </si>
  <si>
    <t>Roshan Kumar Singh</t>
  </si>
  <si>
    <t>Karnika Sharma</t>
  </si>
  <si>
    <t>Shivansh Tyagi</t>
  </si>
  <si>
    <t>Mishika Jindal</t>
  </si>
  <si>
    <t>Anshika Garg</t>
  </si>
  <si>
    <t>Sukriti Shukla</t>
  </si>
  <si>
    <t>Ankita Yadav</t>
  </si>
  <si>
    <t>Prajukta Kashyap</t>
  </si>
  <si>
    <t>Sonal Singh</t>
  </si>
  <si>
    <t>Sneha Kumari</t>
  </si>
  <si>
    <t>Rishabh Sharma</t>
  </si>
  <si>
    <t>Khushi Garg</t>
  </si>
  <si>
    <t>Yogita Singh</t>
  </si>
  <si>
    <t>Nayanika Singh</t>
  </si>
  <si>
    <t>Shikha Verma</t>
  </si>
  <si>
    <t>Bhavna Sahu</t>
  </si>
  <si>
    <t>Harsh Kumar</t>
  </si>
  <si>
    <t>Tanya Yadav</t>
  </si>
  <si>
    <t>Ishika Singh</t>
  </si>
  <si>
    <t>Pragati Kala</t>
  </si>
  <si>
    <t>Sakshi Singh</t>
  </si>
  <si>
    <t>Ashna Sidiqqui</t>
  </si>
  <si>
    <t>Abhinav Teotia</t>
  </si>
  <si>
    <t>Palki Mittal</t>
  </si>
  <si>
    <t>Surbhi Sharma</t>
  </si>
  <si>
    <t>Sanjana Pal</t>
  </si>
  <si>
    <t>Surbhi Yadav</t>
  </si>
  <si>
    <t>Design</t>
  </si>
  <si>
    <t>Ankita Singh</t>
  </si>
  <si>
    <t>Deepali Gupta</t>
  </si>
  <si>
    <t>Bhoomi Kanujiya</t>
  </si>
  <si>
    <t>Archi Singh</t>
  </si>
  <si>
    <t>Vansh Aggarwal</t>
  </si>
  <si>
    <t>Akanksha Sengar</t>
  </si>
  <si>
    <t>Sakaar Srivastava</t>
  </si>
  <si>
    <t>Yashika Gupta</t>
  </si>
  <si>
    <t>Ayushi Aggarwal</t>
  </si>
  <si>
    <t>Aashutosh Shah</t>
  </si>
  <si>
    <t>Target</t>
  </si>
  <si>
    <t>Pending</t>
  </si>
  <si>
    <t>Harsh Vardhan</t>
  </si>
  <si>
    <t>Sneha Gupta</t>
  </si>
  <si>
    <t>Achieved</t>
  </si>
  <si>
    <t>% Achieved</t>
  </si>
  <si>
    <t>DOJ</t>
  </si>
  <si>
    <t>Feedback</t>
  </si>
  <si>
    <t>Done</t>
  </si>
  <si>
    <t>May Month_Engineering Team_Performance Report</t>
  </si>
  <si>
    <t>May Month_Management Team_Performance Report</t>
  </si>
  <si>
    <t>May Month_Law Team_Performance Report</t>
  </si>
  <si>
    <t>May Month_Media/Liberal Arts Team_Performance Report</t>
  </si>
  <si>
    <t>Design Team_Performance Report</t>
  </si>
  <si>
    <t>NA</t>
  </si>
  <si>
    <t>Inbound Team_ May Month_Performance Report</t>
  </si>
  <si>
    <t>%Achieved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</si>
</sst>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4" fillId="0" borderId="0" applyFont="0" applyFill="0" applyBorder="0" applyAlignment="0" applyProtection="0"/>
  </cellStyleXfs>
  <cellXfs count="48">
    <xf numFmtId="0" fontId="0" fillId="0" borderId="0" xfId="0"/>
    <xf numFmtId="0" fontId="2" fillId="3" borderId="1" xfId="0" applyFont="1" applyFill="1" applyBorder="1" applyAlignment="1">
      <alignment horizontal="left" vertical="top"/>
    </xf>
    <xf numFmtId="0" fontId="2" fillId="4" borderId="1" xfId="1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  <xf numFmtId="0" fontId="2" fillId="3" borderId="1" xfId="1" applyFont="1" applyFill="1" applyBorder="1" applyAlignment="1">
      <alignment horizontal="left" vertical="top"/>
    </xf>
    <xf numFmtId="0" fontId="3" fillId="0" borderId="1" xfId="0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left" vertical="top"/>
    </xf>
    <xf numFmtId="0" fontId="3" fillId="6" borderId="1" xfId="0" applyFont="1" applyFill="1" applyBorder="1"/>
    <xf numFmtId="0" fontId="3" fillId="5" borderId="1" xfId="0" applyFont="1" applyFill="1" applyBorder="1"/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/>
    <xf numFmtId="1" fontId="3" fillId="6" borderId="1" xfId="0" applyNumberFormat="1" applyFont="1" applyFill="1" applyBorder="1" applyAlignment="1">
      <alignment horizontal="left" vertical="top"/>
    </xf>
    <xf numFmtId="9" fontId="2" fillId="6" borderId="1" xfId="2" applyFont="1" applyFill="1" applyBorder="1"/>
    <xf numFmtId="1" fontId="3" fillId="5" borderId="1" xfId="0" applyNumberFormat="1" applyFont="1" applyFill="1" applyBorder="1" applyAlignment="1">
      <alignment horizontal="left" vertical="top"/>
    </xf>
    <xf numFmtId="9" fontId="2" fillId="5" borderId="1" xfId="2" applyFont="1" applyFill="1" applyBorder="1"/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/>
    <xf numFmtId="0" fontId="2" fillId="2" borderId="1" xfId="0" applyFont="1" applyFill="1" applyBorder="1"/>
    <xf numFmtId="0" fontId="2" fillId="6" borderId="1" xfId="0" applyFont="1" applyFill="1" applyBorder="1"/>
    <xf numFmtId="0" fontId="2" fillId="5" borderId="1" xfId="0" applyFont="1" applyFill="1" applyBorder="1"/>
    <xf numFmtId="1" fontId="3" fillId="2" borderId="1" xfId="0" applyNumberFormat="1" applyFont="1" applyFill="1" applyBorder="1" applyAlignment="1">
      <alignment horizontal="left" vertical="top"/>
    </xf>
    <xf numFmtId="1" fontId="3" fillId="2" borderId="1" xfId="0" applyNumberFormat="1" applyFont="1" applyFill="1" applyBorder="1" applyAlignment="1">
      <alignment horizontal="left"/>
    </xf>
    <xf numFmtId="9" fontId="2" fillId="2" borderId="1" xfId="2" applyFont="1" applyFill="1" applyBorder="1" applyAlignment="1">
      <alignment horizontal="left"/>
    </xf>
    <xf numFmtId="1" fontId="3" fillId="6" borderId="1" xfId="0" applyNumberFormat="1" applyFont="1" applyFill="1" applyBorder="1" applyAlignment="1">
      <alignment horizontal="left"/>
    </xf>
    <xf numFmtId="9" fontId="2" fillId="6" borderId="1" xfId="2" applyFont="1" applyFill="1" applyBorder="1" applyAlignment="1">
      <alignment horizontal="left"/>
    </xf>
    <xf numFmtId="0" fontId="2" fillId="8" borderId="1" xfId="0" applyFont="1" applyFill="1" applyBorder="1"/>
    <xf numFmtId="0" fontId="2" fillId="9" borderId="1" xfId="0" applyFont="1" applyFill="1" applyBorder="1" applyAlignment="1">
      <alignment horizontal="left" vertical="top"/>
    </xf>
    <xf numFmtId="1" fontId="3" fillId="9" borderId="1" xfId="0" applyNumberFormat="1" applyFont="1" applyFill="1" applyBorder="1"/>
    <xf numFmtId="9" fontId="2" fillId="9" borderId="1" xfId="2" applyFont="1" applyFill="1" applyBorder="1"/>
    <xf numFmtId="0" fontId="2" fillId="9" borderId="1" xfId="1" applyFont="1" applyFill="1" applyBorder="1" applyAlignment="1">
      <alignment horizontal="left" vertical="top"/>
    </xf>
    <xf numFmtId="0" fontId="2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/>
    </xf>
    <xf numFmtId="14" fontId="2" fillId="9" borderId="1" xfId="0" applyNumberFormat="1" applyFont="1" applyFill="1" applyBorder="1"/>
    <xf numFmtId="0" fontId="3" fillId="9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2" fillId="2" borderId="1" xfId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9" fontId="3" fillId="5" borderId="1" xfId="2" applyFont="1" applyFill="1" applyBorder="1" applyAlignment="1">
      <alignment horizontal="left" vertical="top"/>
    </xf>
    <xf numFmtId="9" fontId="3" fillId="6" borderId="1" xfId="2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/>
    </xf>
  </cellXfs>
  <cellStyles count="3">
    <cellStyle name="Normal" xfId="0" builtinId="0"/>
    <cellStyle name="Normal 4" xfId="1" xr:uid="{DE591957-9033-4A30-8AF5-701766C33BEE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21883-2B18-40E0-9760-891DB6B737AE}">
  <dimension ref="A1:I37"/>
  <sheetViews>
    <sheetView tabSelected="1" workbookViewId="0">
      <selection activeCell="B11" sqref="B11"/>
    </sheetView>
  </sheetViews>
  <sheetFormatPr defaultRowHeight="15" x14ac:dyDescent="0.25"/>
  <cols>
    <col min="1" max="1" width="6.85546875" bestFit="1" customWidth="1"/>
    <col min="2" max="2" width="17.42578125" bestFit="1" customWidth="1"/>
    <col min="3" max="3" width="15.85546875" bestFit="1" customWidth="1"/>
    <col min="4" max="4" width="10.140625" bestFit="1" customWidth="1"/>
    <col min="5" max="5" width="8.28515625" bestFit="1" customWidth="1"/>
    <col min="6" max="6" width="10.42578125" bestFit="1" customWidth="1"/>
    <col min="7" max="7" width="9.5703125" bestFit="1" customWidth="1"/>
    <col min="8" max="8" width="12.140625" bestFit="1" customWidth="1"/>
    <col min="9" max="9" width="10.5703125" bestFit="1" customWidth="1"/>
  </cols>
  <sheetData>
    <row r="1" spans="1:9" x14ac:dyDescent="0.25">
      <c r="A1" s="20" t="s">
        <v>20</v>
      </c>
      <c r="B1" s="8" t="s">
        <v>0</v>
      </c>
      <c r="C1" s="21" t="s">
        <v>46</v>
      </c>
      <c r="D1" s="21" t="s">
        <v>95</v>
      </c>
      <c r="E1" s="21" t="s">
        <v>89</v>
      </c>
      <c r="F1" s="21" t="s">
        <v>93</v>
      </c>
      <c r="G1" s="21" t="s">
        <v>90</v>
      </c>
      <c r="H1" s="21" t="s">
        <v>94</v>
      </c>
      <c r="I1" s="21" t="s">
        <v>96</v>
      </c>
    </row>
    <row r="2" spans="1:9" x14ac:dyDescent="0.25">
      <c r="A2" s="10">
        <v>1</v>
      </c>
      <c r="B2" s="31" t="s">
        <v>53</v>
      </c>
      <c r="C2" s="36" t="s">
        <v>40</v>
      </c>
      <c r="D2" s="37">
        <v>46125</v>
      </c>
      <c r="E2" s="38">
        <v>60</v>
      </c>
      <c r="F2" s="38">
        <v>79</v>
      </c>
      <c r="G2" s="38">
        <f t="shared" ref="G2:G37" si="0">F2-E2</f>
        <v>19</v>
      </c>
      <c r="H2" s="33">
        <f t="shared" ref="H2:H37" si="1">F2/E2</f>
        <v>1.3166666666666667</v>
      </c>
      <c r="I2" s="21" t="s">
        <v>97</v>
      </c>
    </row>
    <row r="3" spans="1:9" x14ac:dyDescent="0.25">
      <c r="A3" s="10">
        <v>2</v>
      </c>
      <c r="B3" s="39" t="s">
        <v>88</v>
      </c>
      <c r="C3" s="38" t="s">
        <v>39</v>
      </c>
      <c r="D3" s="37">
        <v>46125</v>
      </c>
      <c r="E3" s="38">
        <v>150</v>
      </c>
      <c r="F3" s="38">
        <v>144</v>
      </c>
      <c r="G3" s="38">
        <f t="shared" si="0"/>
        <v>-6</v>
      </c>
      <c r="H3" s="33">
        <f t="shared" si="1"/>
        <v>0.96</v>
      </c>
      <c r="I3" s="21" t="s">
        <v>97</v>
      </c>
    </row>
    <row r="4" spans="1:9" x14ac:dyDescent="0.25">
      <c r="A4" s="12">
        <v>3</v>
      </c>
      <c r="B4" s="31" t="s">
        <v>19</v>
      </c>
      <c r="C4" s="36" t="s">
        <v>40</v>
      </c>
      <c r="D4" s="37">
        <v>46118</v>
      </c>
      <c r="E4" s="38">
        <v>60</v>
      </c>
      <c r="F4" s="38">
        <v>52</v>
      </c>
      <c r="G4" s="38">
        <f t="shared" si="0"/>
        <v>-8</v>
      </c>
      <c r="H4" s="33">
        <f t="shared" si="1"/>
        <v>0.8666666666666667</v>
      </c>
      <c r="I4" s="21" t="s">
        <v>97</v>
      </c>
    </row>
    <row r="5" spans="1:9" x14ac:dyDescent="0.25">
      <c r="A5" s="12">
        <v>4</v>
      </c>
      <c r="B5" s="31" t="s">
        <v>68</v>
      </c>
      <c r="C5" s="36" t="s">
        <v>40</v>
      </c>
      <c r="D5" s="37">
        <v>46128</v>
      </c>
      <c r="E5" s="38">
        <v>60</v>
      </c>
      <c r="F5" s="38">
        <v>50</v>
      </c>
      <c r="G5" s="38">
        <f t="shared" si="0"/>
        <v>-10</v>
      </c>
      <c r="H5" s="33">
        <f t="shared" si="1"/>
        <v>0.83333333333333337</v>
      </c>
      <c r="I5" s="21" t="s">
        <v>97</v>
      </c>
    </row>
    <row r="6" spans="1:9" x14ac:dyDescent="0.25">
      <c r="A6" s="12">
        <v>5</v>
      </c>
      <c r="B6" s="31" t="s">
        <v>36</v>
      </c>
      <c r="C6" s="36" t="s">
        <v>39</v>
      </c>
      <c r="D6" s="37">
        <v>46125</v>
      </c>
      <c r="E6" s="38">
        <v>120</v>
      </c>
      <c r="F6" s="38">
        <v>91</v>
      </c>
      <c r="G6" s="38">
        <f t="shared" si="0"/>
        <v>-29</v>
      </c>
      <c r="H6" s="33">
        <f t="shared" si="1"/>
        <v>0.7583333333333333</v>
      </c>
      <c r="I6" s="21" t="s">
        <v>97</v>
      </c>
    </row>
    <row r="7" spans="1:9" x14ac:dyDescent="0.25">
      <c r="A7" s="12">
        <v>6</v>
      </c>
      <c r="B7" s="40" t="s">
        <v>76</v>
      </c>
      <c r="C7" s="41" t="s">
        <v>39</v>
      </c>
      <c r="D7" s="37">
        <v>46132</v>
      </c>
      <c r="E7" s="38">
        <v>120</v>
      </c>
      <c r="F7" s="38">
        <v>81</v>
      </c>
      <c r="G7" s="38">
        <f t="shared" si="0"/>
        <v>-39</v>
      </c>
      <c r="H7" s="33">
        <f t="shared" si="1"/>
        <v>0.67500000000000004</v>
      </c>
      <c r="I7" s="9"/>
    </row>
    <row r="8" spans="1:9" x14ac:dyDescent="0.25">
      <c r="A8" s="12">
        <v>7</v>
      </c>
      <c r="B8" s="31" t="s">
        <v>34</v>
      </c>
      <c r="C8" s="36" t="s">
        <v>39</v>
      </c>
      <c r="D8" s="37">
        <v>46121</v>
      </c>
      <c r="E8" s="38">
        <v>120</v>
      </c>
      <c r="F8" s="38">
        <v>81</v>
      </c>
      <c r="G8" s="38">
        <f t="shared" si="0"/>
        <v>-39</v>
      </c>
      <c r="H8" s="33">
        <f t="shared" si="1"/>
        <v>0.67500000000000004</v>
      </c>
      <c r="I8" s="21" t="s">
        <v>97</v>
      </c>
    </row>
    <row r="9" spans="1:9" x14ac:dyDescent="0.25">
      <c r="A9" s="12">
        <v>8</v>
      </c>
      <c r="B9" s="31" t="s">
        <v>51</v>
      </c>
      <c r="C9" s="36" t="s">
        <v>39</v>
      </c>
      <c r="D9" s="37">
        <v>46125</v>
      </c>
      <c r="E9" s="38">
        <v>120</v>
      </c>
      <c r="F9" s="38">
        <v>74</v>
      </c>
      <c r="G9" s="38">
        <f t="shared" si="0"/>
        <v>-46</v>
      </c>
      <c r="H9" s="33">
        <f t="shared" si="1"/>
        <v>0.6166666666666667</v>
      </c>
      <c r="I9" s="21" t="s">
        <v>97</v>
      </c>
    </row>
    <row r="10" spans="1:9" x14ac:dyDescent="0.25">
      <c r="A10" s="12">
        <v>9</v>
      </c>
      <c r="B10" s="31" t="s">
        <v>33</v>
      </c>
      <c r="C10" s="36" t="s">
        <v>39</v>
      </c>
      <c r="D10" s="37">
        <v>46121</v>
      </c>
      <c r="E10" s="38">
        <v>120</v>
      </c>
      <c r="F10" s="38">
        <v>73</v>
      </c>
      <c r="G10" s="38">
        <f t="shared" si="0"/>
        <v>-47</v>
      </c>
      <c r="H10" s="33">
        <f t="shared" si="1"/>
        <v>0.60833333333333328</v>
      </c>
      <c r="I10" s="21" t="s">
        <v>97</v>
      </c>
    </row>
    <row r="11" spans="1:9" x14ac:dyDescent="0.25">
      <c r="A11" s="12">
        <v>10</v>
      </c>
      <c r="B11" s="31" t="s">
        <v>48</v>
      </c>
      <c r="C11" s="36" t="s">
        <v>39</v>
      </c>
      <c r="D11" s="37">
        <v>46125</v>
      </c>
      <c r="E11" s="38">
        <v>120</v>
      </c>
      <c r="F11" s="38">
        <v>73</v>
      </c>
      <c r="G11" s="38">
        <f t="shared" si="0"/>
        <v>-47</v>
      </c>
      <c r="H11" s="33">
        <f t="shared" si="1"/>
        <v>0.60833333333333328</v>
      </c>
      <c r="I11" s="21" t="s">
        <v>97</v>
      </c>
    </row>
    <row r="12" spans="1:9" x14ac:dyDescent="0.25">
      <c r="A12" s="13">
        <v>11</v>
      </c>
      <c r="B12" s="31" t="s">
        <v>24</v>
      </c>
      <c r="C12" s="36" t="s">
        <v>41</v>
      </c>
      <c r="D12" s="37">
        <v>46111</v>
      </c>
      <c r="E12" s="38">
        <v>75</v>
      </c>
      <c r="F12" s="38">
        <v>44</v>
      </c>
      <c r="G12" s="38">
        <f t="shared" si="0"/>
        <v>-31</v>
      </c>
      <c r="H12" s="33">
        <f t="shared" si="1"/>
        <v>0.58666666666666667</v>
      </c>
      <c r="I12" s="21" t="s">
        <v>97</v>
      </c>
    </row>
    <row r="13" spans="1:9" x14ac:dyDescent="0.25">
      <c r="A13" s="13">
        <v>12</v>
      </c>
      <c r="B13" s="31" t="s">
        <v>18</v>
      </c>
      <c r="C13" s="36" t="s">
        <v>40</v>
      </c>
      <c r="D13" s="37">
        <v>46118</v>
      </c>
      <c r="E13" s="38">
        <v>60</v>
      </c>
      <c r="F13" s="38">
        <v>35</v>
      </c>
      <c r="G13" s="38">
        <f t="shared" si="0"/>
        <v>-25</v>
      </c>
      <c r="H13" s="33">
        <f t="shared" si="1"/>
        <v>0.58333333333333337</v>
      </c>
      <c r="I13" s="21" t="s">
        <v>97</v>
      </c>
    </row>
    <row r="14" spans="1:9" x14ac:dyDescent="0.25">
      <c r="A14" s="13">
        <v>13</v>
      </c>
      <c r="B14" s="40" t="s">
        <v>77</v>
      </c>
      <c r="C14" s="41" t="s">
        <v>39</v>
      </c>
      <c r="D14" s="37">
        <v>46132</v>
      </c>
      <c r="E14" s="38">
        <v>120</v>
      </c>
      <c r="F14" s="38">
        <v>63</v>
      </c>
      <c r="G14" s="38">
        <f t="shared" si="0"/>
        <v>-57</v>
      </c>
      <c r="H14" s="33">
        <f t="shared" si="1"/>
        <v>0.52500000000000002</v>
      </c>
      <c r="I14" s="9"/>
    </row>
    <row r="15" spans="1:9" x14ac:dyDescent="0.25">
      <c r="A15" s="13">
        <v>14</v>
      </c>
      <c r="B15" s="31" t="s">
        <v>49</v>
      </c>
      <c r="C15" s="36" t="s">
        <v>39</v>
      </c>
      <c r="D15" s="37">
        <v>46125</v>
      </c>
      <c r="E15" s="38">
        <v>120</v>
      </c>
      <c r="F15" s="38">
        <v>60</v>
      </c>
      <c r="G15" s="38">
        <f t="shared" si="0"/>
        <v>-60</v>
      </c>
      <c r="H15" s="33">
        <f t="shared" si="1"/>
        <v>0.5</v>
      </c>
      <c r="I15" s="21" t="s">
        <v>97</v>
      </c>
    </row>
    <row r="16" spans="1:9" x14ac:dyDescent="0.25">
      <c r="A16" s="13">
        <v>15</v>
      </c>
      <c r="B16" s="31" t="s">
        <v>47</v>
      </c>
      <c r="C16" s="36" t="s">
        <v>39</v>
      </c>
      <c r="D16" s="37">
        <v>46118</v>
      </c>
      <c r="E16" s="38">
        <v>120</v>
      </c>
      <c r="F16" s="38">
        <v>59</v>
      </c>
      <c r="G16" s="38">
        <f t="shared" si="0"/>
        <v>-61</v>
      </c>
      <c r="H16" s="33">
        <f t="shared" si="1"/>
        <v>0.49166666666666664</v>
      </c>
      <c r="I16" s="21" t="s">
        <v>97</v>
      </c>
    </row>
    <row r="17" spans="1:9" x14ac:dyDescent="0.25">
      <c r="A17" s="13">
        <v>16</v>
      </c>
      <c r="B17" s="31" t="s">
        <v>73</v>
      </c>
      <c r="C17" s="36" t="s">
        <v>39</v>
      </c>
      <c r="D17" s="37">
        <v>46129</v>
      </c>
      <c r="E17" s="38">
        <v>120</v>
      </c>
      <c r="F17" s="38">
        <v>58</v>
      </c>
      <c r="G17" s="38">
        <f t="shared" si="0"/>
        <v>-62</v>
      </c>
      <c r="H17" s="33">
        <f t="shared" si="1"/>
        <v>0.48333333333333334</v>
      </c>
      <c r="I17" s="21" t="s">
        <v>97</v>
      </c>
    </row>
    <row r="18" spans="1:9" x14ac:dyDescent="0.25">
      <c r="A18" s="13">
        <v>17</v>
      </c>
      <c r="B18" s="31" t="s">
        <v>52</v>
      </c>
      <c r="C18" s="36" t="s">
        <v>41</v>
      </c>
      <c r="D18" s="37">
        <v>46119</v>
      </c>
      <c r="E18" s="38">
        <v>75</v>
      </c>
      <c r="F18" s="38">
        <v>36</v>
      </c>
      <c r="G18" s="38">
        <f t="shared" si="0"/>
        <v>-39</v>
      </c>
      <c r="H18" s="33">
        <f t="shared" si="1"/>
        <v>0.48</v>
      </c>
      <c r="I18" s="21" t="s">
        <v>97</v>
      </c>
    </row>
    <row r="19" spans="1:9" x14ac:dyDescent="0.25">
      <c r="A19" s="13">
        <v>18</v>
      </c>
      <c r="B19" s="31" t="s">
        <v>50</v>
      </c>
      <c r="C19" s="36" t="s">
        <v>39</v>
      </c>
      <c r="D19" s="37">
        <v>46125</v>
      </c>
      <c r="E19" s="38">
        <v>120</v>
      </c>
      <c r="F19" s="38">
        <v>56</v>
      </c>
      <c r="G19" s="38">
        <f t="shared" si="0"/>
        <v>-64</v>
      </c>
      <c r="H19" s="33">
        <f t="shared" si="1"/>
        <v>0.46666666666666667</v>
      </c>
      <c r="I19" s="21" t="s">
        <v>97</v>
      </c>
    </row>
    <row r="20" spans="1:9" x14ac:dyDescent="0.25">
      <c r="A20" s="13">
        <v>19</v>
      </c>
      <c r="B20" s="31" t="s">
        <v>58</v>
      </c>
      <c r="C20" s="36" t="s">
        <v>42</v>
      </c>
      <c r="D20" s="37">
        <v>46121</v>
      </c>
      <c r="E20" s="38">
        <v>60</v>
      </c>
      <c r="F20" s="38">
        <v>24</v>
      </c>
      <c r="G20" s="38">
        <f t="shared" si="0"/>
        <v>-36</v>
      </c>
      <c r="H20" s="33">
        <f t="shared" si="1"/>
        <v>0.4</v>
      </c>
      <c r="I20" s="21" t="s">
        <v>97</v>
      </c>
    </row>
    <row r="21" spans="1:9" x14ac:dyDescent="0.25">
      <c r="A21" s="13">
        <v>20</v>
      </c>
      <c r="B21" s="31" t="s">
        <v>72</v>
      </c>
      <c r="C21" s="36" t="s">
        <v>40</v>
      </c>
      <c r="D21" s="37">
        <v>46128</v>
      </c>
      <c r="E21" s="38">
        <v>60</v>
      </c>
      <c r="F21" s="38">
        <v>24</v>
      </c>
      <c r="G21" s="38">
        <f t="shared" si="0"/>
        <v>-36</v>
      </c>
      <c r="H21" s="33">
        <f t="shared" si="1"/>
        <v>0.4</v>
      </c>
      <c r="I21" s="9"/>
    </row>
    <row r="22" spans="1:9" x14ac:dyDescent="0.25">
      <c r="A22" s="13">
        <v>21</v>
      </c>
      <c r="B22" s="31" t="s">
        <v>67</v>
      </c>
      <c r="C22" s="36" t="s">
        <v>39</v>
      </c>
      <c r="D22" s="37">
        <v>46128</v>
      </c>
      <c r="E22" s="38">
        <v>120</v>
      </c>
      <c r="F22" s="38">
        <v>42</v>
      </c>
      <c r="G22" s="38">
        <f t="shared" si="0"/>
        <v>-78</v>
      </c>
      <c r="H22" s="33">
        <f t="shared" si="1"/>
        <v>0.35</v>
      </c>
      <c r="I22" s="9"/>
    </row>
    <row r="23" spans="1:9" x14ac:dyDescent="0.25">
      <c r="A23" s="13">
        <v>22</v>
      </c>
      <c r="B23" s="31" t="s">
        <v>69</v>
      </c>
      <c r="C23" s="36" t="s">
        <v>42</v>
      </c>
      <c r="D23" s="37">
        <v>46128</v>
      </c>
      <c r="E23" s="38">
        <v>60</v>
      </c>
      <c r="F23" s="38">
        <v>21</v>
      </c>
      <c r="G23" s="38">
        <f t="shared" si="0"/>
        <v>-39</v>
      </c>
      <c r="H23" s="33">
        <f t="shared" si="1"/>
        <v>0.35</v>
      </c>
      <c r="I23" s="21" t="s">
        <v>97</v>
      </c>
    </row>
    <row r="24" spans="1:9" x14ac:dyDescent="0.25">
      <c r="A24" s="13">
        <v>23</v>
      </c>
      <c r="B24" s="31" t="s">
        <v>15</v>
      </c>
      <c r="C24" s="36" t="s">
        <v>39</v>
      </c>
      <c r="D24" s="37">
        <v>46121</v>
      </c>
      <c r="E24" s="38">
        <v>120</v>
      </c>
      <c r="F24" s="38">
        <v>40</v>
      </c>
      <c r="G24" s="38">
        <f t="shared" si="0"/>
        <v>-80</v>
      </c>
      <c r="H24" s="33">
        <f t="shared" si="1"/>
        <v>0.33333333333333331</v>
      </c>
      <c r="I24" s="9"/>
    </row>
    <row r="25" spans="1:9" x14ac:dyDescent="0.25">
      <c r="A25" s="13">
        <v>24</v>
      </c>
      <c r="B25" s="31" t="s">
        <v>61</v>
      </c>
      <c r="C25" s="36" t="s">
        <v>39</v>
      </c>
      <c r="D25" s="37">
        <v>46126</v>
      </c>
      <c r="E25" s="38">
        <v>120</v>
      </c>
      <c r="F25" s="38">
        <v>40</v>
      </c>
      <c r="G25" s="38">
        <f t="shared" si="0"/>
        <v>-80</v>
      </c>
      <c r="H25" s="33">
        <f t="shared" si="1"/>
        <v>0.33333333333333331</v>
      </c>
      <c r="I25" s="9"/>
    </row>
    <row r="26" spans="1:9" x14ac:dyDescent="0.25">
      <c r="A26" s="13">
        <v>25</v>
      </c>
      <c r="B26" s="31" t="s">
        <v>60</v>
      </c>
      <c r="C26" s="36" t="s">
        <v>39</v>
      </c>
      <c r="D26" s="37">
        <v>46126</v>
      </c>
      <c r="E26" s="38">
        <v>120</v>
      </c>
      <c r="F26" s="38">
        <v>40</v>
      </c>
      <c r="G26" s="38">
        <f t="shared" si="0"/>
        <v>-80</v>
      </c>
      <c r="H26" s="33">
        <f t="shared" si="1"/>
        <v>0.33333333333333331</v>
      </c>
      <c r="I26" s="21" t="s">
        <v>97</v>
      </c>
    </row>
    <row r="27" spans="1:9" x14ac:dyDescent="0.25">
      <c r="A27" s="13">
        <v>26</v>
      </c>
      <c r="B27" s="31" t="s">
        <v>62</v>
      </c>
      <c r="C27" s="36" t="s">
        <v>39</v>
      </c>
      <c r="D27" s="37">
        <v>46126</v>
      </c>
      <c r="E27" s="38">
        <v>120</v>
      </c>
      <c r="F27" s="38">
        <v>36</v>
      </c>
      <c r="G27" s="38">
        <f t="shared" si="0"/>
        <v>-84</v>
      </c>
      <c r="H27" s="33">
        <f t="shared" si="1"/>
        <v>0.3</v>
      </c>
      <c r="I27" s="21" t="s">
        <v>97</v>
      </c>
    </row>
    <row r="28" spans="1:9" x14ac:dyDescent="0.25">
      <c r="A28" s="13">
        <v>27</v>
      </c>
      <c r="B28" s="31" t="s">
        <v>66</v>
      </c>
      <c r="C28" s="36" t="s">
        <v>39</v>
      </c>
      <c r="D28" s="37">
        <v>46128</v>
      </c>
      <c r="E28" s="38">
        <v>120</v>
      </c>
      <c r="F28" s="38">
        <v>35</v>
      </c>
      <c r="G28" s="38">
        <f t="shared" si="0"/>
        <v>-85</v>
      </c>
      <c r="H28" s="33">
        <f t="shared" si="1"/>
        <v>0.29166666666666669</v>
      </c>
      <c r="I28" s="21" t="s">
        <v>97</v>
      </c>
    </row>
    <row r="29" spans="1:9" x14ac:dyDescent="0.25">
      <c r="A29" s="13">
        <v>28</v>
      </c>
      <c r="B29" s="31" t="s">
        <v>71</v>
      </c>
      <c r="C29" s="36" t="s">
        <v>39</v>
      </c>
      <c r="D29" s="37">
        <v>46128</v>
      </c>
      <c r="E29" s="38">
        <v>120</v>
      </c>
      <c r="F29" s="38">
        <v>34</v>
      </c>
      <c r="G29" s="38">
        <f t="shared" si="0"/>
        <v>-86</v>
      </c>
      <c r="H29" s="33">
        <f t="shared" si="1"/>
        <v>0.28333333333333333</v>
      </c>
      <c r="I29" s="21" t="s">
        <v>97</v>
      </c>
    </row>
    <row r="30" spans="1:9" x14ac:dyDescent="0.25">
      <c r="A30" s="13">
        <v>29</v>
      </c>
      <c r="B30" s="31" t="s">
        <v>74</v>
      </c>
      <c r="C30" s="36" t="s">
        <v>42</v>
      </c>
      <c r="D30" s="37">
        <v>46129</v>
      </c>
      <c r="E30" s="38">
        <v>60</v>
      </c>
      <c r="F30" s="38">
        <v>17</v>
      </c>
      <c r="G30" s="38">
        <f t="shared" si="0"/>
        <v>-43</v>
      </c>
      <c r="H30" s="33">
        <f t="shared" si="1"/>
        <v>0.28333333333333333</v>
      </c>
      <c r="I30" s="21" t="s">
        <v>97</v>
      </c>
    </row>
    <row r="31" spans="1:9" x14ac:dyDescent="0.25">
      <c r="A31" s="13">
        <v>30</v>
      </c>
      <c r="B31" s="31" t="s">
        <v>70</v>
      </c>
      <c r="C31" s="36" t="s">
        <v>39</v>
      </c>
      <c r="D31" s="37">
        <v>46128</v>
      </c>
      <c r="E31" s="38">
        <v>120</v>
      </c>
      <c r="F31" s="38">
        <v>28</v>
      </c>
      <c r="G31" s="38">
        <f t="shared" si="0"/>
        <v>-92</v>
      </c>
      <c r="H31" s="33">
        <f t="shared" si="1"/>
        <v>0.23333333333333334</v>
      </c>
      <c r="I31" s="9"/>
    </row>
    <row r="32" spans="1:9" x14ac:dyDescent="0.25">
      <c r="A32" s="13">
        <v>31</v>
      </c>
      <c r="B32" s="31" t="s">
        <v>79</v>
      </c>
      <c r="C32" s="36" t="s">
        <v>78</v>
      </c>
      <c r="D32" s="37">
        <v>46118</v>
      </c>
      <c r="E32" s="38">
        <v>60</v>
      </c>
      <c r="F32" s="38">
        <v>13</v>
      </c>
      <c r="G32" s="38">
        <f t="shared" si="0"/>
        <v>-47</v>
      </c>
      <c r="H32" s="33">
        <f t="shared" si="1"/>
        <v>0.21666666666666667</v>
      </c>
      <c r="I32" s="21" t="s">
        <v>97</v>
      </c>
    </row>
    <row r="33" spans="1:9" x14ac:dyDescent="0.25">
      <c r="A33" s="13">
        <v>32</v>
      </c>
      <c r="B33" s="31" t="s">
        <v>63</v>
      </c>
      <c r="C33" s="36" t="s">
        <v>39</v>
      </c>
      <c r="D33" s="37">
        <v>46126</v>
      </c>
      <c r="E33" s="38">
        <v>120</v>
      </c>
      <c r="F33" s="38">
        <v>25</v>
      </c>
      <c r="G33" s="38">
        <f t="shared" si="0"/>
        <v>-95</v>
      </c>
      <c r="H33" s="33">
        <f t="shared" si="1"/>
        <v>0.20833333333333334</v>
      </c>
      <c r="I33" s="9"/>
    </row>
    <row r="34" spans="1:9" x14ac:dyDescent="0.25">
      <c r="A34" s="13">
        <v>33</v>
      </c>
      <c r="B34" s="31" t="s">
        <v>65</v>
      </c>
      <c r="C34" s="36" t="s">
        <v>40</v>
      </c>
      <c r="D34" s="37">
        <v>46128</v>
      </c>
      <c r="E34" s="38">
        <v>60</v>
      </c>
      <c r="F34" s="38">
        <v>12</v>
      </c>
      <c r="G34" s="38">
        <f t="shared" si="0"/>
        <v>-48</v>
      </c>
      <c r="H34" s="33">
        <f t="shared" si="1"/>
        <v>0.2</v>
      </c>
      <c r="I34" s="9"/>
    </row>
    <row r="35" spans="1:9" x14ac:dyDescent="0.25">
      <c r="A35" s="13">
        <v>34</v>
      </c>
      <c r="B35" s="31" t="s">
        <v>59</v>
      </c>
      <c r="C35" s="36" t="s">
        <v>39</v>
      </c>
      <c r="D35" s="37">
        <v>46126</v>
      </c>
      <c r="E35" s="38">
        <v>120</v>
      </c>
      <c r="F35" s="38">
        <v>24</v>
      </c>
      <c r="G35" s="38">
        <f t="shared" si="0"/>
        <v>-96</v>
      </c>
      <c r="H35" s="33">
        <f t="shared" si="1"/>
        <v>0.2</v>
      </c>
      <c r="I35" s="9"/>
    </row>
    <row r="36" spans="1:9" x14ac:dyDescent="0.25">
      <c r="A36" s="13">
        <v>35</v>
      </c>
      <c r="B36" s="31" t="s">
        <v>64</v>
      </c>
      <c r="C36" s="36" t="s">
        <v>78</v>
      </c>
      <c r="D36" s="37">
        <v>46128</v>
      </c>
      <c r="E36" s="38">
        <v>60</v>
      </c>
      <c r="F36" s="38">
        <v>11</v>
      </c>
      <c r="G36" s="38">
        <f t="shared" si="0"/>
        <v>-49</v>
      </c>
      <c r="H36" s="33">
        <f t="shared" si="1"/>
        <v>0.18333333333333332</v>
      </c>
      <c r="I36" s="21" t="s">
        <v>97</v>
      </c>
    </row>
    <row r="37" spans="1:9" x14ac:dyDescent="0.25">
      <c r="A37" s="13">
        <v>36</v>
      </c>
      <c r="B37" s="31" t="s">
        <v>28</v>
      </c>
      <c r="C37" s="36" t="s">
        <v>42</v>
      </c>
      <c r="D37" s="37">
        <v>46118</v>
      </c>
      <c r="E37" s="38">
        <v>60</v>
      </c>
      <c r="F37" s="38">
        <v>6</v>
      </c>
      <c r="G37" s="38">
        <f t="shared" si="0"/>
        <v>-54</v>
      </c>
      <c r="H37" s="33">
        <f t="shared" si="1"/>
        <v>0.1</v>
      </c>
      <c r="I37" s="9"/>
    </row>
  </sheetData>
  <sortState xmlns:xlrd2="http://schemas.microsoft.com/office/spreadsheetml/2017/richdata2" ref="A2:H48">
    <sortCondition descending="1" ref="H1:H4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CD55E-32B1-4C3A-850F-B2893CE17A7C}">
  <dimension ref="A1:G19"/>
  <sheetViews>
    <sheetView workbookViewId="0">
      <selection activeCell="C11" sqref="C11"/>
    </sheetView>
  </sheetViews>
  <sheetFormatPr defaultRowHeight="15" x14ac:dyDescent="0.25"/>
  <cols>
    <col min="1" max="1" width="6.85546875" bestFit="1" customWidth="1"/>
    <col min="2" max="2" width="18.5703125" bestFit="1" customWidth="1"/>
    <col min="3" max="3" width="8.28515625" bestFit="1" customWidth="1"/>
    <col min="4" max="4" width="10.42578125" bestFit="1" customWidth="1"/>
    <col min="5" max="5" width="9.5703125" bestFit="1" customWidth="1"/>
    <col min="6" max="6" width="12.140625" bestFit="1" customWidth="1"/>
    <col min="7" max="7" width="10.5703125" bestFit="1" customWidth="1"/>
  </cols>
  <sheetData>
    <row r="1" spans="1:7" x14ac:dyDescent="0.25">
      <c r="A1" s="47" t="s">
        <v>98</v>
      </c>
      <c r="B1" s="47"/>
      <c r="C1" s="47"/>
      <c r="D1" s="47"/>
      <c r="E1" s="47"/>
      <c r="F1" s="47"/>
      <c r="G1" s="47"/>
    </row>
    <row r="2" spans="1:7" x14ac:dyDescent="0.25">
      <c r="A2" s="14" t="s">
        <v>20</v>
      </c>
      <c r="B2" s="2" t="s">
        <v>0</v>
      </c>
      <c r="C2" s="15" t="s">
        <v>89</v>
      </c>
      <c r="D2" s="15" t="s">
        <v>93</v>
      </c>
      <c r="E2" s="15" t="s">
        <v>90</v>
      </c>
      <c r="F2" s="15" t="s">
        <v>94</v>
      </c>
      <c r="G2" s="15" t="s">
        <v>96</v>
      </c>
    </row>
    <row r="3" spans="1:7" x14ac:dyDescent="0.25">
      <c r="A3" s="22">
        <v>1</v>
      </c>
      <c r="B3" s="31" t="s">
        <v>4</v>
      </c>
      <c r="C3" s="32">
        <v>250</v>
      </c>
      <c r="D3" s="32">
        <v>258</v>
      </c>
      <c r="E3" s="32">
        <f t="shared" ref="E3:E19" si="0">C3-D3</f>
        <v>-8</v>
      </c>
      <c r="F3" s="33">
        <f>D3/C3</f>
        <v>1.032</v>
      </c>
      <c r="G3" s="21" t="s">
        <v>97</v>
      </c>
    </row>
    <row r="4" spans="1:7" x14ac:dyDescent="0.25">
      <c r="A4" s="23">
        <v>2</v>
      </c>
      <c r="B4" s="31" t="s">
        <v>54</v>
      </c>
      <c r="C4" s="32">
        <v>250</v>
      </c>
      <c r="D4" s="32">
        <v>211</v>
      </c>
      <c r="E4" s="32">
        <f t="shared" si="0"/>
        <v>39</v>
      </c>
      <c r="F4" s="33">
        <f t="shared" ref="F4:F19" si="1">D4/C4</f>
        <v>0.84399999999999997</v>
      </c>
      <c r="G4" s="21" t="s">
        <v>97</v>
      </c>
    </row>
    <row r="5" spans="1:7" x14ac:dyDescent="0.25">
      <c r="A5" s="23">
        <v>3</v>
      </c>
      <c r="B5" s="34" t="s">
        <v>3</v>
      </c>
      <c r="C5" s="32">
        <v>250</v>
      </c>
      <c r="D5" s="32">
        <v>181</v>
      </c>
      <c r="E5" s="32">
        <f t="shared" si="0"/>
        <v>69</v>
      </c>
      <c r="F5" s="33">
        <f t="shared" si="1"/>
        <v>0.72399999999999998</v>
      </c>
      <c r="G5" s="21" t="s">
        <v>97</v>
      </c>
    </row>
    <row r="6" spans="1:7" x14ac:dyDescent="0.25">
      <c r="A6" s="23">
        <v>4</v>
      </c>
      <c r="B6" s="35" t="s">
        <v>44</v>
      </c>
      <c r="C6" s="32">
        <v>250</v>
      </c>
      <c r="D6" s="32">
        <v>149</v>
      </c>
      <c r="E6" s="32">
        <f t="shared" si="0"/>
        <v>101</v>
      </c>
      <c r="F6" s="33">
        <f t="shared" si="1"/>
        <v>0.59599999999999997</v>
      </c>
      <c r="G6" s="21" t="s">
        <v>97</v>
      </c>
    </row>
    <row r="7" spans="1:7" x14ac:dyDescent="0.25">
      <c r="A7" s="23">
        <v>5</v>
      </c>
      <c r="B7" s="31" t="s">
        <v>13</v>
      </c>
      <c r="C7" s="32">
        <v>250</v>
      </c>
      <c r="D7" s="32">
        <v>149</v>
      </c>
      <c r="E7" s="32">
        <f t="shared" si="0"/>
        <v>101</v>
      </c>
      <c r="F7" s="33">
        <f t="shared" si="1"/>
        <v>0.59599999999999997</v>
      </c>
      <c r="G7" s="30" t="s">
        <v>97</v>
      </c>
    </row>
    <row r="8" spans="1:7" x14ac:dyDescent="0.25">
      <c r="A8" s="24">
        <v>6</v>
      </c>
      <c r="B8" s="31" t="s">
        <v>14</v>
      </c>
      <c r="C8" s="32">
        <v>250</v>
      </c>
      <c r="D8" s="32">
        <v>140</v>
      </c>
      <c r="E8" s="32">
        <f t="shared" si="0"/>
        <v>110</v>
      </c>
      <c r="F8" s="33">
        <f t="shared" si="1"/>
        <v>0.56000000000000005</v>
      </c>
      <c r="G8" s="30" t="s">
        <v>97</v>
      </c>
    </row>
    <row r="9" spans="1:7" x14ac:dyDescent="0.25">
      <c r="A9" s="24">
        <v>7</v>
      </c>
      <c r="B9" s="31" t="s">
        <v>45</v>
      </c>
      <c r="C9" s="32">
        <v>250</v>
      </c>
      <c r="D9" s="32">
        <v>134</v>
      </c>
      <c r="E9" s="32">
        <f t="shared" si="0"/>
        <v>116</v>
      </c>
      <c r="F9" s="33">
        <f t="shared" si="1"/>
        <v>0.53600000000000003</v>
      </c>
      <c r="G9" s="30" t="s">
        <v>97</v>
      </c>
    </row>
    <row r="10" spans="1:7" x14ac:dyDescent="0.25">
      <c r="A10" s="24">
        <v>8</v>
      </c>
      <c r="B10" s="31" t="s">
        <v>6</v>
      </c>
      <c r="C10" s="32">
        <v>250</v>
      </c>
      <c r="D10" s="32">
        <v>134</v>
      </c>
      <c r="E10" s="32">
        <f t="shared" si="0"/>
        <v>116</v>
      </c>
      <c r="F10" s="33">
        <f t="shared" si="1"/>
        <v>0.53600000000000003</v>
      </c>
      <c r="G10" s="30" t="s">
        <v>97</v>
      </c>
    </row>
    <row r="11" spans="1:7" x14ac:dyDescent="0.25">
      <c r="A11" s="24">
        <v>9</v>
      </c>
      <c r="B11" s="31" t="s">
        <v>8</v>
      </c>
      <c r="C11" s="32">
        <v>250</v>
      </c>
      <c r="D11" s="32">
        <v>134</v>
      </c>
      <c r="E11" s="32">
        <f t="shared" si="0"/>
        <v>116</v>
      </c>
      <c r="F11" s="33">
        <f t="shared" si="1"/>
        <v>0.53600000000000003</v>
      </c>
      <c r="G11" s="21" t="s">
        <v>97</v>
      </c>
    </row>
    <row r="12" spans="1:7" x14ac:dyDescent="0.25">
      <c r="A12" s="24">
        <v>10</v>
      </c>
      <c r="B12" s="31" t="s">
        <v>43</v>
      </c>
      <c r="C12" s="32">
        <v>250</v>
      </c>
      <c r="D12" s="32">
        <v>128</v>
      </c>
      <c r="E12" s="32">
        <f t="shared" si="0"/>
        <v>122</v>
      </c>
      <c r="F12" s="33">
        <f t="shared" si="1"/>
        <v>0.51200000000000001</v>
      </c>
      <c r="G12" s="9"/>
    </row>
    <row r="13" spans="1:7" x14ac:dyDescent="0.25">
      <c r="A13" s="24">
        <v>11</v>
      </c>
      <c r="B13" s="31" t="s">
        <v>12</v>
      </c>
      <c r="C13" s="32">
        <v>250</v>
      </c>
      <c r="D13" s="32">
        <v>124</v>
      </c>
      <c r="E13" s="32">
        <f t="shared" si="0"/>
        <v>126</v>
      </c>
      <c r="F13" s="33">
        <f t="shared" si="1"/>
        <v>0.496</v>
      </c>
      <c r="G13" s="30" t="s">
        <v>97</v>
      </c>
    </row>
    <row r="14" spans="1:7" x14ac:dyDescent="0.25">
      <c r="A14" s="24">
        <v>12</v>
      </c>
      <c r="B14" s="31" t="s">
        <v>5</v>
      </c>
      <c r="C14" s="32">
        <v>250</v>
      </c>
      <c r="D14" s="32">
        <v>123</v>
      </c>
      <c r="E14" s="32">
        <f t="shared" si="0"/>
        <v>127</v>
      </c>
      <c r="F14" s="33">
        <f t="shared" si="1"/>
        <v>0.49199999999999999</v>
      </c>
      <c r="G14" s="21" t="s">
        <v>97</v>
      </c>
    </row>
    <row r="15" spans="1:7" x14ac:dyDescent="0.25">
      <c r="A15" s="24">
        <v>14</v>
      </c>
      <c r="B15" s="31" t="s">
        <v>9</v>
      </c>
      <c r="C15" s="32">
        <v>250</v>
      </c>
      <c r="D15" s="32">
        <v>99</v>
      </c>
      <c r="E15" s="32">
        <f t="shared" si="0"/>
        <v>151</v>
      </c>
      <c r="F15" s="33">
        <f t="shared" si="1"/>
        <v>0.39600000000000002</v>
      </c>
      <c r="G15" s="21" t="s">
        <v>97</v>
      </c>
    </row>
    <row r="16" spans="1:7" x14ac:dyDescent="0.25">
      <c r="A16" s="24">
        <v>15</v>
      </c>
      <c r="B16" s="31" t="s">
        <v>10</v>
      </c>
      <c r="C16" s="32">
        <v>250</v>
      </c>
      <c r="D16" s="32">
        <v>98</v>
      </c>
      <c r="E16" s="32">
        <f t="shared" si="0"/>
        <v>152</v>
      </c>
      <c r="F16" s="33">
        <f t="shared" si="1"/>
        <v>0.39200000000000002</v>
      </c>
      <c r="G16" s="21" t="s">
        <v>97</v>
      </c>
    </row>
    <row r="17" spans="1:7" x14ac:dyDescent="0.25">
      <c r="A17" s="24">
        <v>16</v>
      </c>
      <c r="B17" s="31" t="s">
        <v>11</v>
      </c>
      <c r="C17" s="32">
        <v>250</v>
      </c>
      <c r="D17" s="32">
        <v>92</v>
      </c>
      <c r="E17" s="32">
        <f t="shared" si="0"/>
        <v>158</v>
      </c>
      <c r="F17" s="33">
        <f t="shared" si="1"/>
        <v>0.36799999999999999</v>
      </c>
      <c r="G17" s="21" t="s">
        <v>97</v>
      </c>
    </row>
    <row r="18" spans="1:7" x14ac:dyDescent="0.25">
      <c r="A18" s="24">
        <v>17</v>
      </c>
      <c r="B18" s="31" t="s">
        <v>35</v>
      </c>
      <c r="C18" s="32">
        <v>250</v>
      </c>
      <c r="D18" s="32">
        <v>73</v>
      </c>
      <c r="E18" s="32">
        <f t="shared" si="0"/>
        <v>177</v>
      </c>
      <c r="F18" s="33">
        <f t="shared" si="1"/>
        <v>0.29199999999999998</v>
      </c>
      <c r="G18" s="30" t="s">
        <v>97</v>
      </c>
    </row>
    <row r="19" spans="1:7" x14ac:dyDescent="0.25">
      <c r="A19" s="24">
        <v>18</v>
      </c>
      <c r="B19" s="34" t="s">
        <v>75</v>
      </c>
      <c r="C19" s="32">
        <v>250</v>
      </c>
      <c r="D19" s="32">
        <v>59</v>
      </c>
      <c r="E19" s="32">
        <f t="shared" si="0"/>
        <v>191</v>
      </c>
      <c r="F19" s="33">
        <f t="shared" si="1"/>
        <v>0.23599999999999999</v>
      </c>
      <c r="G19" s="30" t="s">
        <v>97</v>
      </c>
    </row>
  </sheetData>
  <sortState xmlns:xlrd2="http://schemas.microsoft.com/office/spreadsheetml/2017/richdata2" ref="A2:F19">
    <sortCondition descending="1" ref="D2:D19"/>
  </sortState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B2818-CBA2-4122-932F-560A8F95D686}">
  <dimension ref="A1:G6"/>
  <sheetViews>
    <sheetView workbookViewId="0">
      <selection activeCell="D8" sqref="D8"/>
    </sheetView>
  </sheetViews>
  <sheetFormatPr defaultRowHeight="15" x14ac:dyDescent="0.25"/>
  <cols>
    <col min="1" max="1" width="5.28515625" bestFit="1" customWidth="1"/>
    <col min="2" max="2" width="14.85546875" bestFit="1" customWidth="1"/>
    <col min="3" max="3" width="6.5703125" bestFit="1" customWidth="1"/>
    <col min="4" max="4" width="9.28515625" bestFit="1" customWidth="1"/>
    <col min="5" max="5" width="8.28515625" bestFit="1" customWidth="1"/>
    <col min="6" max="6" width="11.28515625" bestFit="1" customWidth="1"/>
  </cols>
  <sheetData>
    <row r="1" spans="1:7" x14ac:dyDescent="0.25">
      <c r="A1" s="47" t="s">
        <v>99</v>
      </c>
      <c r="B1" s="47"/>
      <c r="C1" s="47"/>
      <c r="D1" s="47"/>
      <c r="E1" s="47"/>
      <c r="F1" s="47"/>
      <c r="G1" s="47"/>
    </row>
    <row r="2" spans="1:7" x14ac:dyDescent="0.25">
      <c r="A2" s="14" t="s">
        <v>20</v>
      </c>
      <c r="B2" s="2" t="s">
        <v>0</v>
      </c>
      <c r="C2" s="15" t="s">
        <v>89</v>
      </c>
      <c r="D2" s="15" t="s">
        <v>93</v>
      </c>
      <c r="E2" s="15" t="s">
        <v>90</v>
      </c>
      <c r="F2" s="15" t="s">
        <v>94</v>
      </c>
      <c r="G2" s="15" t="s">
        <v>96</v>
      </c>
    </row>
    <row r="3" spans="1:7" x14ac:dyDescent="0.25">
      <c r="A3" s="11">
        <v>1</v>
      </c>
      <c r="B3" s="4" t="s">
        <v>17</v>
      </c>
      <c r="C3" s="11">
        <v>120</v>
      </c>
      <c r="D3" s="25">
        <v>132</v>
      </c>
      <c r="E3" s="26">
        <f>C3-D3</f>
        <v>-12</v>
      </c>
      <c r="F3" s="27">
        <f>D3/C3</f>
        <v>1.1000000000000001</v>
      </c>
      <c r="G3" s="21" t="s">
        <v>97</v>
      </c>
    </row>
    <row r="4" spans="1:7" x14ac:dyDescent="0.25">
      <c r="A4" s="11">
        <v>2</v>
      </c>
      <c r="B4" s="4" t="s">
        <v>16</v>
      </c>
      <c r="C4" s="11">
        <v>120</v>
      </c>
      <c r="D4" s="25">
        <v>130</v>
      </c>
      <c r="E4" s="26">
        <f t="shared" ref="E4" si="0">C4-D4</f>
        <v>-10</v>
      </c>
      <c r="F4" s="27">
        <f t="shared" ref="F4" si="1">D4/C4</f>
        <v>1.0833333333333333</v>
      </c>
      <c r="G4" s="21" t="s">
        <v>97</v>
      </c>
    </row>
    <row r="5" spans="1:7" x14ac:dyDescent="0.25">
      <c r="A5" s="11">
        <v>3</v>
      </c>
      <c r="B5" s="4" t="s">
        <v>37</v>
      </c>
      <c r="C5" s="11">
        <v>120</v>
      </c>
      <c r="D5" s="25">
        <v>121</v>
      </c>
      <c r="E5" s="26">
        <f>C5-D5</f>
        <v>-1</v>
      </c>
      <c r="F5" s="27">
        <f>D5/C5</f>
        <v>1.0083333333333333</v>
      </c>
      <c r="G5" s="21" t="s">
        <v>97</v>
      </c>
    </row>
    <row r="6" spans="1:7" x14ac:dyDescent="0.25">
      <c r="A6" s="7">
        <v>4</v>
      </c>
      <c r="B6" s="5" t="s">
        <v>38</v>
      </c>
      <c r="C6" s="7">
        <v>120</v>
      </c>
      <c r="D6" s="16">
        <v>117</v>
      </c>
      <c r="E6" s="28">
        <f>C6-D6</f>
        <v>3</v>
      </c>
      <c r="F6" s="29">
        <f>D6/C6</f>
        <v>0.97499999999999998</v>
      </c>
      <c r="G6" s="21" t="s">
        <v>97</v>
      </c>
    </row>
  </sheetData>
  <sortState xmlns:xlrd2="http://schemas.microsoft.com/office/spreadsheetml/2017/richdata2" ref="G2:J6">
    <sortCondition descending="1" ref="J1:J6"/>
  </sortState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A981-D9A3-4427-AD1A-B192078281FC}">
  <dimension ref="A1:G5"/>
  <sheetViews>
    <sheetView workbookViewId="0">
      <selection activeCell="D10" sqref="D10"/>
    </sheetView>
  </sheetViews>
  <sheetFormatPr defaultRowHeight="15" x14ac:dyDescent="0.25"/>
  <cols>
    <col min="1" max="1" width="5.28515625" bestFit="1" customWidth="1"/>
    <col min="2" max="2" width="14.5703125" bestFit="1" customWidth="1"/>
    <col min="3" max="3" width="6.5703125" bestFit="1" customWidth="1"/>
    <col min="4" max="4" width="9.28515625" bestFit="1" customWidth="1"/>
    <col min="5" max="5" width="8.28515625" bestFit="1" customWidth="1"/>
    <col min="6" max="6" width="11.28515625" bestFit="1" customWidth="1"/>
  </cols>
  <sheetData>
    <row r="1" spans="1:7" x14ac:dyDescent="0.25">
      <c r="A1" s="47" t="s">
        <v>100</v>
      </c>
      <c r="B1" s="47"/>
      <c r="C1" s="47"/>
      <c r="D1" s="47"/>
      <c r="E1" s="47"/>
      <c r="F1" s="47"/>
      <c r="G1" s="47"/>
    </row>
    <row r="2" spans="1:7" x14ac:dyDescent="0.25">
      <c r="A2" s="14" t="s">
        <v>20</v>
      </c>
      <c r="B2" s="2" t="s">
        <v>0</v>
      </c>
      <c r="C2" s="15" t="s">
        <v>89</v>
      </c>
      <c r="D2" s="15" t="s">
        <v>93</v>
      </c>
      <c r="E2" s="15" t="s">
        <v>90</v>
      </c>
      <c r="F2" s="15" t="s">
        <v>94</v>
      </c>
      <c r="G2" s="15" t="s">
        <v>96</v>
      </c>
    </row>
    <row r="3" spans="1:7" x14ac:dyDescent="0.25">
      <c r="A3" s="7">
        <v>1</v>
      </c>
      <c r="B3" s="5" t="s">
        <v>22</v>
      </c>
      <c r="C3" s="7">
        <v>100</v>
      </c>
      <c r="D3" s="16">
        <v>69</v>
      </c>
      <c r="E3" s="16">
        <f>D3-C3</f>
        <v>-31</v>
      </c>
      <c r="F3" s="17">
        <f>D3/C3</f>
        <v>0.69</v>
      </c>
      <c r="G3" s="21" t="s">
        <v>97</v>
      </c>
    </row>
    <row r="4" spans="1:7" x14ac:dyDescent="0.25">
      <c r="A4" s="7">
        <v>2</v>
      </c>
      <c r="B4" s="5" t="s">
        <v>21</v>
      </c>
      <c r="C4" s="7">
        <v>100</v>
      </c>
      <c r="D4" s="16">
        <v>61</v>
      </c>
      <c r="E4" s="16">
        <f t="shared" ref="E4:E5" si="0">D4-C4</f>
        <v>-39</v>
      </c>
      <c r="F4" s="17">
        <f t="shared" ref="F4:F5" si="1">D4/C4</f>
        <v>0.61</v>
      </c>
      <c r="G4" s="21" t="s">
        <v>97</v>
      </c>
    </row>
    <row r="5" spans="1:7" x14ac:dyDescent="0.25">
      <c r="A5" s="6">
        <v>3</v>
      </c>
      <c r="B5" s="3" t="s">
        <v>23</v>
      </c>
      <c r="C5" s="6">
        <v>100</v>
      </c>
      <c r="D5" s="18">
        <v>38</v>
      </c>
      <c r="E5" s="18">
        <f t="shared" si="0"/>
        <v>-62</v>
      </c>
      <c r="F5" s="19">
        <f t="shared" si="1"/>
        <v>0.38</v>
      </c>
      <c r="G5" s="21" t="s">
        <v>97</v>
      </c>
    </row>
  </sheetData>
  <sortState xmlns:xlrd2="http://schemas.microsoft.com/office/spreadsheetml/2017/richdata2" ref="B3:D5">
    <sortCondition ref="B2:B5"/>
  </sortState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22242-2DB4-4680-904B-EB2EB0910189}">
  <dimension ref="A1:G5"/>
  <sheetViews>
    <sheetView workbookViewId="0">
      <selection activeCell="E11" sqref="E11"/>
    </sheetView>
  </sheetViews>
  <sheetFormatPr defaultRowHeight="15" x14ac:dyDescent="0.25"/>
  <cols>
    <col min="1" max="1" width="5.28515625" bestFit="1" customWidth="1"/>
    <col min="2" max="2" width="14.7109375" bestFit="1" customWidth="1"/>
    <col min="3" max="3" width="6.5703125" bestFit="1" customWidth="1"/>
    <col min="4" max="4" width="9.28515625" bestFit="1" customWidth="1"/>
    <col min="5" max="5" width="8.28515625" bestFit="1" customWidth="1"/>
    <col min="6" max="6" width="11.28515625" bestFit="1" customWidth="1"/>
  </cols>
  <sheetData>
    <row r="1" spans="1:7" x14ac:dyDescent="0.25">
      <c r="A1" s="47" t="s">
        <v>101</v>
      </c>
      <c r="B1" s="47"/>
      <c r="C1" s="47"/>
      <c r="D1" s="47"/>
      <c r="E1" s="47"/>
      <c r="F1" s="47"/>
      <c r="G1" s="47"/>
    </row>
    <row r="2" spans="1:7" x14ac:dyDescent="0.25">
      <c r="A2" s="14" t="s">
        <v>20</v>
      </c>
      <c r="B2" s="2" t="s">
        <v>0</v>
      </c>
      <c r="C2" s="15" t="s">
        <v>89</v>
      </c>
      <c r="D2" s="15" t="s">
        <v>93</v>
      </c>
      <c r="E2" s="15" t="s">
        <v>90</v>
      </c>
      <c r="F2" s="15" t="s">
        <v>94</v>
      </c>
      <c r="G2" s="15" t="s">
        <v>96</v>
      </c>
    </row>
    <row r="3" spans="1:7" x14ac:dyDescent="0.25">
      <c r="A3" s="6">
        <v>1</v>
      </c>
      <c r="B3" s="3" t="s">
        <v>25</v>
      </c>
      <c r="C3" s="6">
        <v>90</v>
      </c>
      <c r="D3" s="13">
        <v>41</v>
      </c>
      <c r="E3" s="13">
        <f>D3-C3</f>
        <v>-49</v>
      </c>
      <c r="F3" s="19">
        <f>D3/C3</f>
        <v>0.45555555555555555</v>
      </c>
      <c r="G3" s="21" t="s">
        <v>97</v>
      </c>
    </row>
    <row r="4" spans="1:7" x14ac:dyDescent="0.25">
      <c r="A4" s="6">
        <v>2</v>
      </c>
      <c r="B4" s="3" t="s">
        <v>27</v>
      </c>
      <c r="C4" s="6">
        <v>90</v>
      </c>
      <c r="D4" s="13">
        <v>41</v>
      </c>
      <c r="E4" s="13">
        <f>D4-C4</f>
        <v>-49</v>
      </c>
      <c r="F4" s="19">
        <f t="shared" ref="F4:F5" si="0">D4/C4</f>
        <v>0.45555555555555555</v>
      </c>
      <c r="G4" s="21" t="s">
        <v>97</v>
      </c>
    </row>
    <row r="5" spans="1:7" x14ac:dyDescent="0.25">
      <c r="A5" s="6">
        <v>3</v>
      </c>
      <c r="B5" s="3" t="s">
        <v>26</v>
      </c>
      <c r="C5" s="6">
        <v>90</v>
      </c>
      <c r="D5" s="13">
        <v>39</v>
      </c>
      <c r="E5" s="13">
        <f>D5-C5</f>
        <v>-51</v>
      </c>
      <c r="F5" s="19">
        <f t="shared" si="0"/>
        <v>0.43333333333333335</v>
      </c>
      <c r="G5" s="21" t="s">
        <v>97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B7A8-462A-4617-B7AC-C0C3F62EAD7F}">
  <dimension ref="A1:G4"/>
  <sheetViews>
    <sheetView workbookViewId="0">
      <selection activeCell="E11" sqref="E11"/>
    </sheetView>
  </sheetViews>
  <sheetFormatPr defaultRowHeight="15" x14ac:dyDescent="0.25"/>
  <cols>
    <col min="1" max="1" width="5.140625" bestFit="1" customWidth="1"/>
    <col min="2" max="2" width="15.85546875" bestFit="1" customWidth="1"/>
    <col min="3" max="3" width="6.5703125" bestFit="1" customWidth="1"/>
    <col min="4" max="4" width="9.28515625" bestFit="1" customWidth="1"/>
    <col min="5" max="5" width="8.28515625" bestFit="1" customWidth="1"/>
    <col min="6" max="6" width="11.28515625" bestFit="1" customWidth="1"/>
    <col min="7" max="7" width="9.42578125" bestFit="1" customWidth="1"/>
  </cols>
  <sheetData>
    <row r="1" spans="1:7" x14ac:dyDescent="0.25">
      <c r="A1" s="47" t="s">
        <v>102</v>
      </c>
      <c r="B1" s="47"/>
      <c r="C1" s="47"/>
      <c r="D1" s="47"/>
      <c r="E1" s="47"/>
      <c r="F1" s="47"/>
      <c r="G1" s="47"/>
    </row>
    <row r="2" spans="1:7" x14ac:dyDescent="0.25">
      <c r="A2" s="14" t="s">
        <v>20</v>
      </c>
      <c r="B2" s="2" t="s">
        <v>0</v>
      </c>
      <c r="C2" s="15" t="s">
        <v>89</v>
      </c>
      <c r="D2" s="15" t="s">
        <v>93</v>
      </c>
      <c r="E2" s="15" t="s">
        <v>90</v>
      </c>
      <c r="F2" s="15" t="s">
        <v>94</v>
      </c>
      <c r="G2" s="15" t="s">
        <v>96</v>
      </c>
    </row>
    <row r="3" spans="1:7" x14ac:dyDescent="0.25">
      <c r="A3" s="6">
        <v>1</v>
      </c>
      <c r="B3" s="3" t="s">
        <v>1</v>
      </c>
      <c r="C3" s="3">
        <v>50</v>
      </c>
      <c r="D3" s="6">
        <v>23</v>
      </c>
      <c r="E3" s="6">
        <f>D3-C3</f>
        <v>-27</v>
      </c>
      <c r="F3" s="19">
        <f>D3/C3</f>
        <v>0.46</v>
      </c>
      <c r="G3" s="21" t="s">
        <v>97</v>
      </c>
    </row>
    <row r="4" spans="1:7" x14ac:dyDescent="0.25">
      <c r="A4" s="6">
        <v>2</v>
      </c>
      <c r="B4" s="3" t="s">
        <v>2</v>
      </c>
      <c r="C4" s="3">
        <v>60</v>
      </c>
      <c r="D4" s="6">
        <v>21</v>
      </c>
      <c r="E4" s="6">
        <f>D4-C4</f>
        <v>-39</v>
      </c>
      <c r="F4" s="19">
        <f>D4/C4</f>
        <v>0.35</v>
      </c>
      <c r="G4" s="21" t="s">
        <v>97</v>
      </c>
    </row>
  </sheetData>
  <sortState xmlns:xlrd2="http://schemas.microsoft.com/office/spreadsheetml/2017/richdata2" ref="A1:C4">
    <sortCondition ref="B2:B3"/>
  </sortState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A7AB-81F6-4E1A-8D79-FF08231944A5}">
  <dimension ref="A1:G20"/>
  <sheetViews>
    <sheetView workbookViewId="0">
      <selection activeCell="E13" sqref="E13"/>
    </sheetView>
  </sheetViews>
  <sheetFormatPr defaultRowHeight="15" x14ac:dyDescent="0.25"/>
  <cols>
    <col min="1" max="1" width="6.85546875" bestFit="1" customWidth="1"/>
    <col min="2" max="2" width="16.85546875" customWidth="1"/>
    <col min="3" max="3" width="8.28515625" bestFit="1" customWidth="1"/>
    <col min="4" max="4" width="10.42578125" bestFit="1" customWidth="1"/>
    <col min="5" max="5" width="9.5703125" bestFit="1" customWidth="1"/>
    <col min="6" max="6" width="11.7109375" bestFit="1" customWidth="1"/>
    <col min="7" max="7" width="10.5703125" bestFit="1" customWidth="1"/>
  </cols>
  <sheetData>
    <row r="1" spans="1:7" x14ac:dyDescent="0.25">
      <c r="A1" s="46" t="s">
        <v>104</v>
      </c>
      <c r="B1" s="46"/>
      <c r="C1" s="46"/>
      <c r="D1" s="46"/>
      <c r="E1" s="46"/>
      <c r="F1" s="46"/>
      <c r="G1" s="46"/>
    </row>
    <row r="2" spans="1:7" x14ac:dyDescent="0.25">
      <c r="A2" s="4" t="s">
        <v>20</v>
      </c>
      <c r="B2" s="42" t="s">
        <v>0</v>
      </c>
      <c r="C2" s="4" t="s">
        <v>89</v>
      </c>
      <c r="D2" s="4" t="s">
        <v>93</v>
      </c>
      <c r="E2" s="4" t="s">
        <v>90</v>
      </c>
      <c r="F2" s="4" t="s">
        <v>105</v>
      </c>
      <c r="G2" s="4" t="s">
        <v>96</v>
      </c>
    </row>
    <row r="3" spans="1:7" x14ac:dyDescent="0.25">
      <c r="A3" s="7">
        <v>1</v>
      </c>
      <c r="B3" s="5" t="s">
        <v>80</v>
      </c>
      <c r="C3" s="7">
        <v>90</v>
      </c>
      <c r="D3" s="7">
        <v>77</v>
      </c>
      <c r="E3" s="7">
        <f t="shared" ref="E3:E9" si="0">C3-D3</f>
        <v>13</v>
      </c>
      <c r="F3" s="45">
        <f>D3/C3</f>
        <v>0.85555555555555551</v>
      </c>
      <c r="G3" s="1" t="s">
        <v>97</v>
      </c>
    </row>
    <row r="4" spans="1:7" x14ac:dyDescent="0.25">
      <c r="A4" s="7">
        <v>2</v>
      </c>
      <c r="B4" s="5" t="s">
        <v>31</v>
      </c>
      <c r="C4" s="7">
        <v>90</v>
      </c>
      <c r="D4" s="7">
        <v>64</v>
      </c>
      <c r="E4" s="7">
        <f t="shared" si="0"/>
        <v>26</v>
      </c>
      <c r="F4" s="45">
        <f t="shared" ref="F4:F18" si="1">D4/C4</f>
        <v>0.71111111111111114</v>
      </c>
      <c r="G4" s="1" t="s">
        <v>97</v>
      </c>
    </row>
    <row r="5" spans="1:7" x14ac:dyDescent="0.25">
      <c r="A5" s="7">
        <v>3</v>
      </c>
      <c r="B5" s="5" t="s">
        <v>55</v>
      </c>
      <c r="C5" s="7">
        <v>90</v>
      </c>
      <c r="D5" s="7">
        <v>63</v>
      </c>
      <c r="E5" s="7">
        <f t="shared" si="0"/>
        <v>27</v>
      </c>
      <c r="F5" s="45">
        <f t="shared" si="1"/>
        <v>0.7</v>
      </c>
      <c r="G5" s="1" t="s">
        <v>97</v>
      </c>
    </row>
    <row r="6" spans="1:7" x14ac:dyDescent="0.25">
      <c r="A6" s="7">
        <v>4</v>
      </c>
      <c r="B6" s="5" t="s">
        <v>7</v>
      </c>
      <c r="C6" s="7">
        <v>90</v>
      </c>
      <c r="D6" s="7">
        <v>61</v>
      </c>
      <c r="E6" s="7">
        <f t="shared" si="0"/>
        <v>29</v>
      </c>
      <c r="F6" s="45">
        <f t="shared" si="1"/>
        <v>0.67777777777777781</v>
      </c>
      <c r="G6" s="1" t="s">
        <v>97</v>
      </c>
    </row>
    <row r="7" spans="1:7" x14ac:dyDescent="0.25">
      <c r="A7" s="7">
        <v>5</v>
      </c>
      <c r="B7" s="5" t="s">
        <v>56</v>
      </c>
      <c r="C7" s="7">
        <v>90</v>
      </c>
      <c r="D7" s="7">
        <v>61</v>
      </c>
      <c r="E7" s="7">
        <f t="shared" si="0"/>
        <v>29</v>
      </c>
      <c r="F7" s="45">
        <f t="shared" si="1"/>
        <v>0.67777777777777781</v>
      </c>
      <c r="G7" s="1" t="s">
        <v>97</v>
      </c>
    </row>
    <row r="8" spans="1:7" x14ac:dyDescent="0.25">
      <c r="A8" s="7">
        <v>6</v>
      </c>
      <c r="B8" s="5" t="s">
        <v>57</v>
      </c>
      <c r="C8" s="7">
        <v>90</v>
      </c>
      <c r="D8" s="7">
        <v>58</v>
      </c>
      <c r="E8" s="7">
        <f t="shared" si="0"/>
        <v>32</v>
      </c>
      <c r="F8" s="45">
        <f t="shared" si="1"/>
        <v>0.64444444444444449</v>
      </c>
      <c r="G8" s="1" t="s">
        <v>97</v>
      </c>
    </row>
    <row r="9" spans="1:7" x14ac:dyDescent="0.25">
      <c r="A9" s="6">
        <v>7</v>
      </c>
      <c r="B9" s="3" t="s">
        <v>30</v>
      </c>
      <c r="C9" s="6">
        <v>90</v>
      </c>
      <c r="D9" s="6">
        <v>36</v>
      </c>
      <c r="E9" s="6">
        <f t="shared" si="0"/>
        <v>54</v>
      </c>
      <c r="F9" s="44">
        <f t="shared" si="1"/>
        <v>0.4</v>
      </c>
      <c r="G9" s="1" t="s">
        <v>97</v>
      </c>
    </row>
    <row r="10" spans="1:7" x14ac:dyDescent="0.25">
      <c r="A10" s="36">
        <v>8</v>
      </c>
      <c r="B10" s="31" t="s">
        <v>83</v>
      </c>
      <c r="C10" s="43" t="s">
        <v>103</v>
      </c>
      <c r="D10" s="43">
        <v>34</v>
      </c>
      <c r="E10" s="43" t="s">
        <v>103</v>
      </c>
      <c r="F10" s="43" t="s">
        <v>103</v>
      </c>
      <c r="G10" s="1" t="s">
        <v>97</v>
      </c>
    </row>
    <row r="11" spans="1:7" x14ac:dyDescent="0.25">
      <c r="A11" s="6">
        <v>9</v>
      </c>
      <c r="B11" s="3" t="s">
        <v>81</v>
      </c>
      <c r="C11" s="6">
        <v>90</v>
      </c>
      <c r="D11" s="6">
        <v>31</v>
      </c>
      <c r="E11" s="6">
        <f>C11-D11</f>
        <v>59</v>
      </c>
      <c r="F11" s="44">
        <f t="shared" si="1"/>
        <v>0.34444444444444444</v>
      </c>
      <c r="G11" s="1" t="s">
        <v>97</v>
      </c>
    </row>
    <row r="12" spans="1:7" x14ac:dyDescent="0.25">
      <c r="A12" s="36">
        <v>10</v>
      </c>
      <c r="B12" s="31" t="s">
        <v>85</v>
      </c>
      <c r="C12" s="43" t="s">
        <v>103</v>
      </c>
      <c r="D12" s="43">
        <v>31</v>
      </c>
      <c r="E12" s="43" t="s">
        <v>103</v>
      </c>
      <c r="F12" s="43" t="s">
        <v>103</v>
      </c>
      <c r="G12" s="1" t="s">
        <v>97</v>
      </c>
    </row>
    <row r="13" spans="1:7" x14ac:dyDescent="0.25">
      <c r="A13" s="6">
        <v>11</v>
      </c>
      <c r="B13" s="3" t="s">
        <v>82</v>
      </c>
      <c r="C13" s="6">
        <v>90</v>
      </c>
      <c r="D13" s="6">
        <v>30</v>
      </c>
      <c r="E13" s="6">
        <f>C13-D13</f>
        <v>60</v>
      </c>
      <c r="F13" s="44">
        <f t="shared" si="1"/>
        <v>0.33333333333333331</v>
      </c>
      <c r="G13" s="1" t="s">
        <v>97</v>
      </c>
    </row>
    <row r="14" spans="1:7" x14ac:dyDescent="0.25">
      <c r="A14" s="6">
        <v>12</v>
      </c>
      <c r="B14" s="3" t="s">
        <v>32</v>
      </c>
      <c r="C14" s="6">
        <v>90</v>
      </c>
      <c r="D14" s="6">
        <v>28</v>
      </c>
      <c r="E14" s="6">
        <f>C14-D14</f>
        <v>62</v>
      </c>
      <c r="F14" s="44">
        <f t="shared" si="1"/>
        <v>0.31111111111111112</v>
      </c>
      <c r="G14" s="1" t="s">
        <v>97</v>
      </c>
    </row>
    <row r="15" spans="1:7" x14ac:dyDescent="0.25">
      <c r="A15" s="36">
        <v>13</v>
      </c>
      <c r="B15" s="31" t="s">
        <v>86</v>
      </c>
      <c r="C15" s="43" t="s">
        <v>103</v>
      </c>
      <c r="D15" s="43">
        <v>19</v>
      </c>
      <c r="E15" s="43" t="s">
        <v>103</v>
      </c>
      <c r="F15" s="43" t="s">
        <v>103</v>
      </c>
      <c r="G15" s="1" t="s">
        <v>97</v>
      </c>
    </row>
    <row r="16" spans="1:7" x14ac:dyDescent="0.25">
      <c r="A16" s="36">
        <v>14</v>
      </c>
      <c r="B16" s="31" t="s">
        <v>87</v>
      </c>
      <c r="C16" s="43" t="s">
        <v>103</v>
      </c>
      <c r="D16" s="43">
        <v>18</v>
      </c>
      <c r="E16" s="43" t="s">
        <v>103</v>
      </c>
      <c r="F16" s="43" t="s">
        <v>103</v>
      </c>
      <c r="G16" s="1" t="s">
        <v>97</v>
      </c>
    </row>
    <row r="17" spans="1:7" x14ac:dyDescent="0.25">
      <c r="A17" s="36">
        <v>15</v>
      </c>
      <c r="B17" s="31" t="s">
        <v>84</v>
      </c>
      <c r="C17" s="43" t="s">
        <v>103</v>
      </c>
      <c r="D17" s="43">
        <v>15</v>
      </c>
      <c r="E17" s="43" t="s">
        <v>103</v>
      </c>
      <c r="F17" s="43" t="s">
        <v>103</v>
      </c>
      <c r="G17" s="1" t="s">
        <v>97</v>
      </c>
    </row>
    <row r="18" spans="1:7" x14ac:dyDescent="0.25">
      <c r="A18" s="6">
        <v>16</v>
      </c>
      <c r="B18" s="3" t="s">
        <v>29</v>
      </c>
      <c r="C18" s="6">
        <v>90</v>
      </c>
      <c r="D18" s="6">
        <v>9</v>
      </c>
      <c r="E18" s="6">
        <f>C18-D18</f>
        <v>81</v>
      </c>
      <c r="F18" s="44">
        <f t="shared" si="1"/>
        <v>0.1</v>
      </c>
      <c r="G18" s="1" t="s">
        <v>97</v>
      </c>
    </row>
    <row r="19" spans="1:7" x14ac:dyDescent="0.25">
      <c r="A19" s="36">
        <v>17</v>
      </c>
      <c r="B19" s="31" t="s">
        <v>91</v>
      </c>
      <c r="C19" s="43" t="s">
        <v>103</v>
      </c>
      <c r="D19" s="43">
        <v>9</v>
      </c>
      <c r="E19" s="43" t="s">
        <v>103</v>
      </c>
      <c r="F19" s="43" t="s">
        <v>103</v>
      </c>
      <c r="G19" s="1" t="s">
        <v>97</v>
      </c>
    </row>
    <row r="20" spans="1:7" x14ac:dyDescent="0.25">
      <c r="A20" s="36">
        <v>18</v>
      </c>
      <c r="B20" s="31" t="s">
        <v>92</v>
      </c>
      <c r="C20" s="43" t="s">
        <v>103</v>
      </c>
      <c r="D20" s="43">
        <v>0</v>
      </c>
      <c r="E20" s="43" t="s">
        <v>103</v>
      </c>
      <c r="F20" s="43" t="s">
        <v>103</v>
      </c>
      <c r="G20" s="1" t="s">
        <v>97</v>
      </c>
    </row>
  </sheetData>
  <sortState xmlns:xlrd2="http://schemas.microsoft.com/office/spreadsheetml/2017/richdata2" ref="A3:F21">
    <sortCondition descending="1" ref="F2:F21"/>
  </sortState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New Joiners</vt:lpstr>
      <vt:lpstr>Engineering</vt:lpstr>
      <vt:lpstr>Management </vt:lpstr>
      <vt:lpstr>Law</vt:lpstr>
      <vt:lpstr>Media</vt:lpstr>
      <vt:lpstr>Design</vt:lpstr>
      <vt:lpstr>Inbound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Kapoor</dc:creator>
  <cp:lastModifiedBy>Ishan Kapoor</cp:lastModifiedBy>
  <dcterms:created xsi:type="dcterms:W3CDTF">2026-04-16T17:53:28Z</dcterms:created>
  <dcterms:modified xsi:type="dcterms:W3CDTF">2026-07-03T16:55:09Z</dcterms:modified>
</cp:coreProperties>
</file>